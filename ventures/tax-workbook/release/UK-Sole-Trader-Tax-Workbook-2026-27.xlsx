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Setup" state="visible" r:id="rId5"/>
    <sheet sheetId="3" name="Income" state="visible" r:id="rId6"/>
    <sheet sheetId="4" name="Expenses" state="visible" r:id="rId7"/>
    <sheet sheetId="5" name="Mileage" state="visible" r:id="rId8"/>
    <sheet sheetId="6" name="Quarterly" state="visible" r:id="rId9"/>
    <sheet sheetId="7" name="Allowance" state="visible" r:id="rId10"/>
    <sheet sheetId="8" name="SA103" state="visible" r:id="rId11"/>
    <sheet sheetId="9" name="Tax" state="visible" r:id="rId12"/>
    <sheet sheetId="10" name="Example" state="visible" r:id="rId13"/>
  </sheets>
  <definedNames>
    <definedName name="TaxYearStart">Setup!$B$5</definedName>
    <definedName name="TaxYearEnd">Setup!$B$6</definedName>
    <definedName name="QuarterBasis">Setup!$B$7</definedName>
    <definedName name="ProfitMethod">Setup!$B$8</definedName>
    <definedName name="PersonalAllowance">Setup!$B$10</definedName>
    <definedName name="PATaperStart">Setup!$B$11</definedName>
    <definedName name="BasicRateBand">Setup!$B$12</definedName>
    <definedName name="HigherRateLimit">Setup!$B$13</definedName>
    <definedName name="BasicRate">Setup!$B$14</definedName>
    <definedName name="HigherRate">Setup!$B$15</definedName>
    <definedName name="AdditionalRate">Setup!$B$16</definedName>
    <definedName name="Class4Lower">Setup!$B$18</definedName>
    <definedName name="Class4Upper">Setup!$B$19</definedName>
    <definedName name="Class4MainRate">Setup!$B$20</definedName>
    <definedName name="Class4UpperRate">Setup!$B$21</definedName>
    <definedName name="Class2SPT">Setup!$B$22</definedName>
    <definedName name="Class2Weekly">Setup!$B$23</definedName>
    <definedName name="TradingAllowance">Setup!$B$25</definedName>
    <definedName name="MileageCarFirst">Setup!$B$27</definedName>
    <definedName name="MileageCarThreshold">Setup!$B$28</definedName>
    <definedName name="MileageCarAfter">Setup!$B$29</definedName>
    <definedName name="MileageMotorcycle">Setup!$B$30</definedName>
    <definedName name="MileageBicycle">Setup!$B$31</definedName>
    <definedName name="POAMin">Setup!$B$33</definedName>
    <definedName name="POASourceShare">Setup!$B$34</definedName>
    <definedName name="MTDThreshold">Setup!$B$35</definedName>
    <definedName name="IncomeTypes">Setup!$A$38:$A$39</definedName>
    <definedName name="ExpenseCategories">Setup!$A$41:$A$51</definedName>
    <definedName name="VehicleTypes">Setup!$A$53:$A$55</definedName>
    <definedName name="QuarterBases">Setup!$A$57:$A$58</definedName>
    <definedName name="ProfitMethods">Setup!$A$60:$A$62</definedName>
    <definedName name="IncomeDates">Income!$A$6:$A$505</definedName>
    <definedName name="IncomeTypeCol">Income!$C$6:$C$505</definedName>
    <definedName name="IncomeAmounts">Income!$D$6:$D$505</definedName>
    <definedName name="ExpenseDates">Expenses!$A$6:$A$1005</definedName>
    <definedName name="ExpenseCategoryCol">Expenses!$C$6:$C$1005</definedName>
    <definedName name="ExpenseAllowable">Expenses!$F$6:$F$1005</definedName>
    <definedName name="MileageDates">Mileage!$A$6:$A$505</definedName>
    <definedName name="MileageClaims">Mileage!$G$6:$G$505</definedName>
    <definedName name="MileageClaim">Mileage!$G$3</definedName>
    <definedName name="YearIncomeByQuarter">Quarterly!$D$10</definedName>
    <definedName name="UseAllowance">Allowance!$B$12</definedName>
    <definedName name="Turnover">SA103!$C$5</definedName>
    <definedName name="OtherIncome">SA103!$C$6</definedName>
    <definedName name="TotalExpenses">SA103!$C$17</definedName>
    <definedName name="AIA">SA103!$C$20</definedName>
    <definedName name="TaxableProfit">SA103!$C$21</definedName>
    <definedName name="TotalDue">Tax!$B$33</definedName>
    <definedName name="PaymentOnAccount">Tax!$B$41</definedName>
    <definedName name="ExampleTotalDue">Example!$B$36</definedName>
    <definedName name="ExamplePOA">Example!$B$39</definedName>
  </definedNames>
  <calcPr calcId="171027" fullCalcOnLoad="1"/>
</workbook>
</file>

<file path=xl/sharedStrings.xml><?xml version="1.0" encoding="utf-8"?>
<sst xmlns="http://schemas.openxmlformats.org/spreadsheetml/2006/main" count="407" uniqueCount="319">
  <si>
    <t>UK Sole Trader Tax Workbook 2026/27</t>
  </si>
  <si>
    <t>Version 1.0 · tax year 6 April 2026 to 5 April 2027 · record-keeping for a self-employed sole trader</t>
  </si>
  <si>
    <t>What this workbook does</t>
  </si>
  <si>
    <t>Keeps your income, expenses and business mileage for the year in three logs, maps them to the boxes of the SA103S self-employment pages, adds up the quarterly totals Making Tax Digital asks for, checks whether the £1,000 Trading Allowance beats your actual expenses, and estimates your Income Tax, Class 4 National Insurance and payments on account.</t>
  </si>
  <si>
    <t/>
  </si>
  <si>
    <t>How to use it</t>
  </si>
  <si>
    <t>1. Setup: check the tax-year rates (they are the 2026/27 figures published on gov.uk) and pick your quarter basis and profit method. Blue text on a pale yellow fill marks the cells you type into; everything in black is a formula — leave it alone.</t>
  </si>
  <si>
    <t>2. Income: one row per payment received — date, who, type (sales or other business income), amount.</t>
  </si>
  <si>
    <t>3. Expenses: one row per business cost — date, supplier, the SA103S category from the drop-down, amount, and the business share if a cost is partly private.</t>
  </si>
  <si>
    <t>4. Mileage: one row per business journey — date, journey, purpose, vehicle, miles. The claim at HMRC approved rates is worked out for you, including the 10,000-mile step-down for cars and vans.</t>
  </si>
  <si>
    <t>5. Quarterly: the four MTD quarters with income, expenses, profit and the update deadline for each, computed from your logs.</t>
  </si>
  <si>
    <t>6. Allowance: whether the Trading Allowance or your actual expenses give the lower profit (Setup → Profit method = Auto uses the better one).</t>
  </si>
  <si>
    <t>7. SA103: your year-end figures box by box, ready to copy into the self-employment pages or your filing software.</t>
  </si>
  <si>
    <t>8. Tax: the estimate — add any other taxable income (a job, a pension) and tax already deducted so the payments-on-account logic is right.</t>
  </si>
  <si>
    <t>9. Example: a filled, hand-checked case so you can see what a finished year looks like.</t>
  </si>
  <si>
    <t>What it is not</t>
  </si>
  <si>
    <t>It is a record-keeping and estimating workbook, not MTD-recognised filing software and not tax advice. It covers English, Welsh and Northern Irish Income Tax bands (Scottish bands differ), a sole trader with one business, no VAT registration, no partnership, no student loan, no savings or dividend income, no Marriage or Blind Person's Allowance, no pension-contribution or Gift Aid relief and no losses brought forward. Check the final figures against HMRC's own calculation before you pay.</t>
  </si>
  <si>
    <t>Works in</t>
  </si>
  <si>
    <t>Microsoft Excel 2010 or later, Google Sheets (File → Import, then save a copy to your Drive), LibreOffice Calc and Numbers. The workbook has no macros. Formulas were recalculated and checked for errors in LibreOffice before release.</t>
  </si>
  <si>
    <t>Rates and sources</t>
  </si>
  <si>
    <t>Every rate on the Setup tab names the gov.uk page it came from (read October 2026). If HMRC changes a figure, change the one cell and every formula follows.</t>
  </si>
  <si>
    <t>Licence</t>
  </si>
  <si>
    <t>One purchase is one licence for your own business records. Please do not resell or share the file. Questions: message the shop.</t>
  </si>
  <si>
    <t>Setup — tax year, rates and lists</t>
  </si>
  <si>
    <t>Blue cells are yours to change. Each figure names its gov.uk source; the whole workbook reads these cells.</t>
  </si>
  <si>
    <t>Setting</t>
  </si>
  <si>
    <t>Value</t>
  </si>
  <si>
    <t>Source / note</t>
  </si>
  <si>
    <t>Tax year starts</t>
  </si>
  <si>
    <t>6 April 2026. Change this (and the rates) to reuse the workbook for another year.</t>
  </si>
  <si>
    <t>Tax year ends</t>
  </si>
  <si>
    <t>Formula: 5 April of the following year.</t>
  </si>
  <si>
    <t>MTD quarter basis</t>
  </si>
  <si>
    <t>Standard (6 April quarters)</t>
  </si>
  <si>
    <t>Standard quarters run 6 April – 5 July and so on; you may elect calendar quarters (1 April – 30 June …) before your first update of the year. gov.uk: Making Tax Digital for Income Tax — quarterly updates.</t>
  </si>
  <si>
    <t>Profit method</t>
  </si>
  <si>
    <t>Auto (lower profit)</t>
  </si>
  <si>
    <t>Auto picks whichever of the Trading Allowance or your actual expenses gives the lower profit (see the Allowance tab). You cannot claim both.</t>
  </si>
  <si>
    <t>Personal Allowance</t>
  </si>
  <si>
    <t>gov.uk Income Tax rates and Personal Allowances, 2026/27 (frozen until April 2031).</t>
  </si>
  <si>
    <t>Allowance tapers from (income over)</t>
  </si>
  <si>
    <t>£1 of allowance lost for every £2 of income over this.</t>
  </si>
  <si>
    <t>Basic-rate band (width)</t>
  </si>
  <si>
    <t>Taxable income from £1 to £37,700 after the allowance.</t>
  </si>
  <si>
    <t>Additional rate starts at (total income)</t>
  </si>
  <si>
    <t>£125,140 — the point at which the allowance has fully tapered.</t>
  </si>
  <si>
    <t>Basic rate</t>
  </si>
  <si>
    <t>England, Wales and Northern Ireland. Scottish rates differ — this workbook does not model them.</t>
  </si>
  <si>
    <t>Higher rate</t>
  </si>
  <si>
    <t>Additional rate</t>
  </si>
  <si>
    <t>Class 4 NI: lower profits limit</t>
  </si>
  <si>
    <t>gov.uk Rates and allowances: National Insurance contributions, 2026 to 2027.</t>
  </si>
  <si>
    <t>Class 4 NI: upper profits limit</t>
  </si>
  <si>
    <t>Class 4 rate between the limits</t>
  </si>
  <si>
    <t>Class 4 rate above the upper limit</t>
  </si>
  <si>
    <t>Class 2 NI: small profits threshold</t>
  </si>
  <si>
    <t>Profits at or above this earn your NI record for free. Below it you may pay Class 2 voluntarily to protect State Pension years.</t>
  </si>
  <si>
    <t>Class 2 voluntary rate (per week)</t>
  </si>
  <si>
    <t>2026/27 weekly rate; 52 weeks a year.</t>
  </si>
  <si>
    <t>Trading Allowance</t>
  </si>
  <si>
    <t>gov.uk Tax-free allowances on property and trading income.</t>
  </si>
  <si>
    <t>Mileage: car or van, first miles (per mile)</t>
  </si>
  <si>
    <t>gov.uk Simplified expenses: vehicles — HMRC approved mileage rates. Claiming mileage replaces fuel, insurance, repairs and capital allowances for that vehicle.</t>
  </si>
  <si>
    <t>Mileage: car or van step-down after (miles)</t>
  </si>
  <si>
    <t>Per tax year, all business journeys added together.</t>
  </si>
  <si>
    <t>Mileage: car or van, further miles (per mile)</t>
  </si>
  <si>
    <t>Mileage: motorcycle (per mile)</t>
  </si>
  <si>
    <t>Mileage: bicycle (per mile)</t>
  </si>
  <si>
    <t>Payments on account: not needed if bill at or under</t>
  </si>
  <si>
    <t>gov.uk Understand your Self Assessment tax bill: payments on account.</t>
  </si>
  <si>
    <t>Payments on account: not needed if this share was paid at source</t>
  </si>
  <si>
    <t>80 % or more of your tax deducted at source (PAYE) means no payments on account.</t>
  </si>
  <si>
    <t>Making Tax Digital applies above (qualifying income)</t>
  </si>
  <si>
    <t>From 6 April 2026 (over £50,000); over £30,000 from April 2027; over £20,000 from April 2028. Qualifying income is gross self-employment plus property income.</t>
  </si>
  <si>
    <t>Lists (drop-down options)</t>
  </si>
  <si>
    <t>SA103S box</t>
  </si>
  <si>
    <t>Where it goes</t>
  </si>
  <si>
    <t>Sales turnover (box 9)</t>
  </si>
  <si>
    <t>Income tab → Type</t>
  </si>
  <si>
    <t>Other business income (box 10)</t>
  </si>
  <si>
    <t>Cost of goods bought for resale or goods used</t>
  </si>
  <si>
    <t>stock, materials, direct costs</t>
  </si>
  <si>
    <t>Car, van and travel expenses</t>
  </si>
  <si>
    <t>fuel, parking, train, taxi, hotel; NOT if you claim mileage for the same vehicle</t>
  </si>
  <si>
    <t>Wages, salaries and other staff costs</t>
  </si>
  <si>
    <t>employees and subcontractors, not your own drawings</t>
  </si>
  <si>
    <t>Rent, rates, power and insurance costs</t>
  </si>
  <si>
    <t>business premises, or the business share of home costs</t>
  </si>
  <si>
    <t>Repairs and maintenance of property and equipment</t>
  </si>
  <si>
    <t>repairs, not improvements</t>
  </si>
  <si>
    <t>Phone, fax, stationery and other office costs</t>
  </si>
  <si>
    <t>phone, internet, software, postage, printing</t>
  </si>
  <si>
    <t>Advertising and business entertainment costs</t>
  </si>
  <si>
    <t>ads, website, samples; entertaining clients is NOT allowable</t>
  </si>
  <si>
    <t>Interest and bank and credit card financial charges</t>
  </si>
  <si>
    <t>business loan interest, bank and card fees</t>
  </si>
  <si>
    <t>Other allowable business expenses</t>
  </si>
  <si>
    <t>accountancy, legal and professional fees, subscriptions, bad debts written off</t>
  </si>
  <si>
    <t>Capital item (annual investment allowance, box 23)</t>
  </si>
  <si>
    <t>equipment, computers, vans bought for the business; claimed as a capital allowance, not an expense</t>
  </si>
  <si>
    <t>Not allowable (private use, drawings, fines, depreciation)</t>
  </si>
  <si>
    <t>—</t>
  </si>
  <si>
    <t>kept for your records; never reaches the SA103 pack</t>
  </si>
  <si>
    <t>Car or van</t>
  </si>
  <si>
    <t>Mileage tab → Vehicle</t>
  </si>
  <si>
    <t>Motorcycle</t>
  </si>
  <si>
    <t>Bicycle</t>
  </si>
  <si>
    <t>Calendar (1 April quarters)</t>
  </si>
  <si>
    <t>Actual expenses</t>
  </si>
  <si>
    <t>Trading allowance</t>
  </si>
  <si>
    <t>Income log</t>
  </si>
  <si>
    <t>One row per payment received. Type: sales turnover (SA103S box 9) or other business income such as grants (box 10). Dates dd/mm/yyyy.</t>
  </si>
  <si>
    <t>Year total</t>
  </si>
  <si>
    <t>Date</t>
  </si>
  <si>
    <t>Customer / description</t>
  </si>
  <si>
    <t>Type</t>
  </si>
  <si>
    <t>Amount £</t>
  </si>
  <si>
    <t>Notes</t>
  </si>
  <si>
    <t>Example Ltd — invoice 001 (delete this row)</t>
  </si>
  <si>
    <t>Example row: paid by bank transfer</t>
  </si>
  <si>
    <t>Expense log</t>
  </si>
  <si>
    <t>One row per business cost. Pick the SA103S category; for a cost that is partly private, enter the business share (blank = 100 %). Keep the receipt.</t>
  </si>
  <si>
    <t>Supplier / description</t>
  </si>
  <si>
    <t>SA103S category</t>
  </si>
  <si>
    <t>Amount paid £</t>
  </si>
  <si>
    <t>Business share</t>
  </si>
  <si>
    <t>Allowable £</t>
  </si>
  <si>
    <t>Receipt / notes</t>
  </si>
  <si>
    <t>Mobile phone bill (delete this row)</t>
  </si>
  <si>
    <t>Example row: 60 % business use</t>
  </si>
  <si>
    <t>Mileage log</t>
  </si>
  <si>
    <t>One row per business journey. The claim uses HMRC approved rates from Setup; cars and vans step down after 10,000 business miles in the year. Commuting to a regular workplace is not business mileage.</t>
  </si>
  <si>
    <t>Journey (from – to)</t>
  </si>
  <si>
    <t>Purpose</t>
  </si>
  <si>
    <t>Vehicle</t>
  </si>
  <si>
    <t>Miles</t>
  </si>
  <si>
    <t>Car/van miles to date</t>
  </si>
  <si>
    <t>Claim £</t>
  </si>
  <si>
    <t>Home – client site, Reading (delete this row)</t>
  </si>
  <si>
    <t>Example row: site visit</t>
  </si>
  <si>
    <t>Quarterly totals (Making Tax Digital)</t>
  </si>
  <si>
    <t>Cumulative figures per quarter from your logs, on the quarter basis chosen on Setup. Each update covers the year to date; the deadline is the 7th of the month after the quarter ends.</t>
  </si>
  <si>
    <t>Quarter</t>
  </si>
  <si>
    <t>From</t>
  </si>
  <si>
    <t>To</t>
  </si>
  <si>
    <t>Income £</t>
  </si>
  <si>
    <t>Expenses £</t>
  </si>
  <si>
    <t>Mileage £</t>
  </si>
  <si>
    <t>Profit £</t>
  </si>
  <si>
    <t>Income to date £</t>
  </si>
  <si>
    <t>Profit to date £</t>
  </si>
  <si>
    <t>Update due</t>
  </si>
  <si>
    <t>Q1</t>
  </si>
  <si>
    <t>Q2</t>
  </si>
  <si>
    <t>Q3</t>
  </si>
  <si>
    <t>Q4</t>
  </si>
  <si>
    <t>Year</t>
  </si>
  <si>
    <t>Does MTD apply to you?</t>
  </si>
  <si>
    <t>Qualifying income for MTD is your gross self-employment and property income for the tax year two years before (2024/25 for April 2026). The quarterly figures here are what the update asks for; the update itself is sent through MTD-compatible software.</t>
  </si>
  <si>
    <t>Trading Allowance check</t>
  </si>
  <si>
    <t>You may deduct the £1,000 Trading Allowance instead of your actual expenses and capital allowances — never both. This tab shows which is better; Setup → Profit method applies it.</t>
  </si>
  <si>
    <t>Item</t>
  </si>
  <si>
    <t>£</t>
  </si>
  <si>
    <t>Note</t>
  </si>
  <si>
    <t>Gross trading income (boxes 9 + 10)</t>
  </si>
  <si>
    <t>From the Income log.</t>
  </si>
  <si>
    <t>Actual deductions: allowable expenses + mileage + capital items</t>
  </si>
  <si>
    <t>From the Expenses and Mileage logs.</t>
  </si>
  <si>
    <t>Trading Allowance available</t>
  </si>
  <si>
    <t>Capped at your gross income — it cannot create a loss.</t>
  </si>
  <si>
    <t>Profit using actual deductions</t>
  </si>
  <si>
    <t>A negative figure is a loss you can relieve only on this method.</t>
  </si>
  <si>
    <t>Profit using the Trading Allowance</t>
  </si>
  <si>
    <t>Better method</t>
  </si>
  <si>
    <t>What Auto chooses.</t>
  </si>
  <si>
    <t>Method in use</t>
  </si>
  <si>
    <t>Setup → Profit method.</t>
  </si>
  <si>
    <t>Allowance in use? (1 = yes)</t>
  </si>
  <si>
    <t>Read by the SA103 and Tax tabs.</t>
  </si>
  <si>
    <t>If your gross trading income is £1,000 or less you do not need to tell HMRC about it unless you are already registered for Self Assessment or want to pay voluntary Class 2 NI. If you claim the allowance you cannot claim expenses, capital allowances or a loss for the same business.</t>
  </si>
  <si>
    <t>SA103S year-end pack</t>
  </si>
  <si>
    <t>Your figures box by box for the self-employment (short) pages. Boxes follow the 2025 SA103S; check the form for the year you file. Enter 11–20 only if you are not claiming the Trading Allowance.</t>
  </si>
  <si>
    <t>Box</t>
  </si>
  <si>
    <t>Description</t>
  </si>
  <si>
    <t>9</t>
  </si>
  <si>
    <t>Your turnover</t>
  </si>
  <si>
    <t>Sales, fees and takings for the year.</t>
  </si>
  <si>
    <t>10</t>
  </si>
  <si>
    <t>Any other business income</t>
  </si>
  <si>
    <t>Grants, insurance proceeds and the like.</t>
  </si>
  <si>
    <t>10.1</t>
  </si>
  <si>
    <t>Trading income allowance</t>
  </si>
  <si>
    <t>Only when the allowance is in use (Allowance tab).</t>
  </si>
  <si>
    <t>11</t>
  </si>
  <si>
    <t>12</t>
  </si>
  <si>
    <t>Expenses in this category plus the mileage claim.</t>
  </si>
  <si>
    <t>13</t>
  </si>
  <si>
    <t>14</t>
  </si>
  <si>
    <t>15</t>
  </si>
  <si>
    <t>16</t>
  </si>
  <si>
    <t>17</t>
  </si>
  <si>
    <t>18</t>
  </si>
  <si>
    <t>19</t>
  </si>
  <si>
    <t>20</t>
  </si>
  <si>
    <t>Total allowable expenses (boxes 11 to 19)</t>
  </si>
  <si>
    <t>If your turnover is under £90,000 you may enter just this total.</t>
  </si>
  <si>
    <t>21</t>
  </si>
  <si>
    <t>Net profit</t>
  </si>
  <si>
    <t>Income less expenses or the allowance, when positive.</t>
  </si>
  <si>
    <t>22</t>
  </si>
  <si>
    <t>Or net loss</t>
  </si>
  <si>
    <t>Positive when expenses exceed income (not with the allowance).</t>
  </si>
  <si>
    <t>23</t>
  </si>
  <si>
    <t>Annual Investment Allowance</t>
  </si>
  <si>
    <t>Capital items from the Expenses log, 100 % in the year of purchase (not with the allowance).</t>
  </si>
  <si>
    <t>31</t>
  </si>
  <si>
    <t>Total taxable profits from this business</t>
  </si>
  <si>
    <t>Net profit less capital allowances. Feeds the Tax tab. (Loss relief and adjustments are outside this workbook.)</t>
  </si>
  <si>
    <t>Tax and Class 4 NI estimate</t>
  </si>
  <si>
    <t>An estimate for a sole trader with one business. Fill the blue cells; the rest comes from your logs and the Setup rates. Check against HMRC's calculation before paying.</t>
  </si>
  <si>
    <t>Line</t>
  </si>
  <si>
    <t>How it is worked out</t>
  </si>
  <si>
    <t>Your inputs</t>
  </si>
  <si>
    <t>Other taxable income this year (salary, pension, before tax)</t>
  </si>
  <si>
    <t>From a P60 or P45; needed for the right band and allowance.</t>
  </si>
  <si>
    <t>Tax already deducted at source (PAYE)</t>
  </si>
  <si>
    <t>From the same P60/P45.</t>
  </si>
  <si>
    <t>Payments on account already made for this year</t>
  </si>
  <si>
    <t>The two payments you made on 31 January and 31 July for 2026/27, if any.</t>
  </si>
  <si>
    <t>Pay Class 2 NI voluntarily if profits are under the threshold?</t>
  </si>
  <si>
    <t>No</t>
  </si>
  <si>
    <t>Protects State Pension and benefit years when profit is under the small profits threshold.</t>
  </si>
  <si>
    <t>Income</t>
  </si>
  <si>
    <t>Taxable profit from this business (SA103 box 31)</t>
  </si>
  <si>
    <t>SA103 tab.</t>
  </si>
  <si>
    <t>Total income</t>
  </si>
  <si>
    <t>Profit plus other taxable income.</t>
  </si>
  <si>
    <t>Personal Allowance after taper</t>
  </si>
  <si>
    <t>£1 lost per £2 over the taper start.</t>
  </si>
  <si>
    <t>Taxable income</t>
  </si>
  <si>
    <t>Income Tax</t>
  </si>
  <si>
    <t>First £37,700 of taxable income at 20 %.</t>
  </si>
  <si>
    <t>Up to the additional-rate point at 40 %.</t>
  </si>
  <si>
    <t>Above £125,140 of income at 45 %.</t>
  </si>
  <si>
    <t>Income Tax on all your income</t>
  </si>
  <si>
    <t>Of which attributable to this business (approx.)</t>
  </si>
  <si>
    <t>Pro rata; the tax deducted at source is netted off below.</t>
  </si>
  <si>
    <t>National Insurance</t>
  </si>
  <si>
    <t>Class 4 between the limits</t>
  </si>
  <si>
    <t>6 % of profit between £12,570 and £50,270.</t>
  </si>
  <si>
    <t>Class 4 above the upper limit</t>
  </si>
  <si>
    <t>2 % above £50,270.</t>
  </si>
  <si>
    <t>Class 4 total</t>
  </si>
  <si>
    <t>Class 2 (voluntary, if chosen and under the threshold)</t>
  </si>
  <si>
    <t>Profits at or over the threshold earn the NI year with nothing to pay.</t>
  </si>
  <si>
    <t>What you pay</t>
  </si>
  <si>
    <t>Income Tax + Class 4 + Class 2</t>
  </si>
  <si>
    <t>Less tax deducted at source</t>
  </si>
  <si>
    <t>Total due for the year</t>
  </si>
  <si>
    <t>Negative means a repayment is due to you.</t>
  </si>
  <si>
    <t>Less payments on account already made</t>
  </si>
  <si>
    <t>Balancing payment due 31 January</t>
  </si>
  <si>
    <t>Balancing payment date</t>
  </si>
  <si>
    <t>Self Assessment payment deadline for the tax year.</t>
  </si>
  <si>
    <t>Payments on account for next year</t>
  </si>
  <si>
    <t>Net liability (tax + Class 4 less tax at source)</t>
  </si>
  <si>
    <t>Class 2 is outside payments on account.</t>
  </si>
  <si>
    <t>Payments on account required?</t>
  </si>
  <si>
    <t>No when the bill is £1,000 or less, or 80 %+ was deducted at source.</t>
  </si>
  <si>
    <t>Each payment on account</t>
  </si>
  <si>
    <t>Half of this year's net liability, twice.</t>
  </si>
  <si>
    <t>Due 31 January and 31 July</t>
  </si>
  <si>
    <t>Effective rate on business profit</t>
  </si>
  <si>
    <t>Tax attributable to the business plus Class 4, over profit.</t>
  </si>
  <si>
    <t>Not covered: Scottish rates, student loan repayments, savings and dividend income, Marriage Allowance, pension contributions and Gift Aid (which extend the basic-rate band), losses carried forward, the High Income Child Benefit Charge, and more than one business. Figures are an estimate for planning; HMRC's calculation is the one you pay.</t>
  </si>
  <si>
    <t>Worked example (2026/27)</t>
  </si>
  <si>
    <t>A finished year, checked by hand, using the Setup rates. Change the blue figures to try your own numbers — nothing here touches your logs.</t>
  </si>
  <si>
    <t>Worked by hand</t>
  </si>
  <si>
    <t>Inputs</t>
  </si>
  <si>
    <t>Turnover (box 9)</t>
  </si>
  <si>
    <t>A year of invoices.</t>
  </si>
  <si>
    <t>Allowable expenses (boxes 11–19, before mileage)</t>
  </si>
  <si>
    <t>Materials, phone, insurance, software, accountancy.</t>
  </si>
  <si>
    <t>Business miles by car</t>
  </si>
  <si>
    <t>Capital items (box 23)</t>
  </si>
  <si>
    <t>Other taxable income (salary, pension)</t>
  </si>
  <si>
    <t>Tax deducted at source</t>
  </si>
  <si>
    <t>Payments on account already made</t>
  </si>
  <si>
    <t>Profit</t>
  </si>
  <si>
    <t>Mileage claim</t>
  </si>
  <si>
    <t>8,000 miles × 45p = £3,600.00</t>
  </si>
  <si>
    <t>Actual deductions (expenses + mileage + capital)</t>
  </si>
  <si>
    <t>£6,500 + £3,600 = £10,100.00</t>
  </si>
  <si>
    <t>Trading Allowance would give</t>
  </si>
  <si>
    <t>£42,000 − £1,000 = £41,000 — worse, so actual expenses are used.</t>
  </si>
  <si>
    <t>Taxable profit (box 31)</t>
  </si>
  <si>
    <t>£42,000 − £10,100 = £31,900.00</t>
  </si>
  <si>
    <t>£31,900.00</t>
  </si>
  <si>
    <t>£12,570 — no taper under £100,000.</t>
  </si>
  <si>
    <t>£31,900 − £12,570 = £19,330.00</t>
  </si>
  <si>
    <t>£19,330 × 20 % = £3,866.00</t>
  </si>
  <si>
    <t>Nothing above £37,700 of taxable income.</t>
  </si>
  <si>
    <t>£3,866.00</t>
  </si>
  <si>
    <t>(£31,900 − £12,570) × 6 % = £1,159.80</t>
  </si>
  <si>
    <t>Profit is under £50,270.</t>
  </si>
  <si>
    <t>Class 4</t>
  </si>
  <si>
    <t>£1,159.80</t>
  </si>
  <si>
    <t>What is due</t>
  </si>
  <si>
    <t>Tax + Class 4 less tax at source</t>
  </si>
  <si>
    <t>£3,866.00 + £1,159.80 = £5,025.80</t>
  </si>
  <si>
    <t>Less payments on account made</t>
  </si>
  <si>
    <t>Balancing payment, 31 January 2028</t>
  </si>
  <si>
    <t>£5,025.80</t>
  </si>
  <si>
    <t>Payments on account for 2027/28 (each, 31 Jan and 31 Jul 2028)</t>
  </si>
  <si>
    <t>Over £1,000 and nothing at source: £5,025.80 ÷ 2 = £2,512.90</t>
  </si>
  <si>
    <t>Cash to set aside on 31 January 2028</t>
  </si>
  <si>
    <t>Balancing payment plus the first payment on account: £7,538.70</t>
  </si>
  <si>
    <t>Effective rate on profit</t>
  </si>
  <si>
    <t>£5,025.80 ÷ £31,900 = 15.8 %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</si>
</sst>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£#,##0;[Red]-£#,##0;-"/>
    <numFmt numFmtId="166" formatCode="0.0%"/>
    <numFmt numFmtId="167" formatCode="£#,##0.00;[Red]-£#,##0.00;-"/>
  </numFmts>
  <fonts count="10" x14ac:knownFonts="1">
    <font>
      <color theme="1"/>
      <family val="2"/>
      <scheme val="minor"/>
      <sz val="11"/>
      <name val="Calibri"/>
    </font>
    <font>
      <b/>
      <color rgb="FF1F3A5F"/>
      <sz val="16"/>
      <name val="Arial"/>
    </font>
    <font>
      <i/>
      <color rgb="FF595959"/>
      <sz val="10"/>
      <name val="Arial"/>
    </font>
    <font>
      <b/>
      <color rgb="FF1F3A5F"/>
      <sz val="11"/>
      <name val="Arial"/>
    </font>
    <font>
      <color rgb="FF000000"/>
      <sz val="10"/>
      <name val="Arial"/>
    </font>
    <font>
      <b/>
      <color rgb="FFFFFFFF"/>
      <sz val="10"/>
      <name val="Arial"/>
    </font>
    <font>
      <sz val="10"/>
      <name val="Arial"/>
    </font>
    <font>
      <color rgb="FF0000FF"/>
      <sz val="10"/>
      <name val="Arial"/>
    </font>
    <font>
      <i/>
      <color rgb="FF595959"/>
      <sz val="9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8DC"/>
      </patternFill>
    </fill>
    <fill>
      <patternFill patternType="solid">
        <fgColor rgb="FFDDEBD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164" fontId="7" fillId="3" borderId="1" xfId="0" applyNumberFormat="1" applyFont="1" applyFill="1" applyBorder="1"/>
    <xf numFmtId="0" fontId="8" fillId="0" borderId="0" xfId="0" applyFont="1" applyAlignment="1">
      <alignment vertical="center" wrapText="1"/>
    </xf>
    <xf numFmtId="164" fontId="6" fillId="0" borderId="1" xfId="0" applyNumberFormat="1" applyFont="1" applyBorder="1"/>
    <xf numFmtId="0" fontId="7" fillId="3" borderId="1" xfId="0" applyFont="1" applyFill="1" applyBorder="1"/>
    <xf numFmtId="165" fontId="7" fillId="3" borderId="1" xfId="0" applyNumberFormat="1" applyFont="1" applyFill="1" applyBorder="1"/>
    <xf numFmtId="166" fontId="7" fillId="3" borderId="1" xfId="0" applyNumberFormat="1" applyFont="1" applyFill="1" applyBorder="1"/>
    <xf numFmtId="167" fontId="7" fillId="3" borderId="1" xfId="0" applyNumberFormat="1" applyFont="1" applyFill="1" applyBorder="1"/>
    <xf numFmtId="3" fontId="7" fillId="3" borderId="1" xfId="0" applyNumberFormat="1" applyFont="1" applyFill="1" applyBorder="1"/>
    <xf numFmtId="0" fontId="6" fillId="0" borderId="0" xfId="0" applyFont="1" applyAlignment="1">
      <alignment horizontal="center"/>
    </xf>
    <xf numFmtId="167" fontId="9" fillId="4" borderId="1" xfId="0" applyNumberFormat="1" applyFont="1" applyFill="1" applyBorder="1"/>
    <xf numFmtId="9" fontId="7" fillId="3" borderId="1" xfId="0" applyNumberFormat="1" applyFont="1" applyFill="1" applyBorder="1"/>
    <xf numFmtId="167" fontId="6" fillId="0" borderId="1" xfId="0" applyNumberFormat="1" applyFont="1" applyBorder="1"/>
    <xf numFmtId="3" fontId="6" fillId="0" borderId="1" xfId="0" applyNumberFormat="1" applyFont="1" applyBorder="1"/>
    <xf numFmtId="0" fontId="9" fillId="0" borderId="0" xfId="0" applyFont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9" fillId="4" borderId="1" xfId="0" applyFont="1" applyFill="1" applyBorder="1"/>
    <xf numFmtId="0" fontId="6" fillId="0" borderId="1" xfId="0" applyFont="1" applyBorder="1"/>
    <xf numFmtId="1" fontId="6" fillId="0" borderId="1" xfId="0" applyNumberFormat="1" applyFont="1" applyBorder="1"/>
    <xf numFmtId="0" fontId="9" fillId="0" borderId="0" xfId="0" applyFont="1" applyAlignment="1">
      <alignment horizontal="center"/>
    </xf>
    <xf numFmtId="0" fontId="9" fillId="4" borderId="0" xfId="0" applyFont="1" applyFill="1"/>
    <xf numFmtId="0" fontId="6" fillId="0" borderId="0" xfId="0" applyFont="1"/>
    <xf numFmtId="164" fontId="6" fillId="0" borderId="1" xfId="0" applyNumberFormat="1" applyFont="1" applyBorder="1" applyAlignment="1">
      <alignment horizontal="left"/>
    </xf>
    <xf numFmtId="166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FormatPr defaultRowHeight="15" outlineLevelRow="0" outlineLevelCol="0" x14ac:dyDescent="55"/>
  <cols>
    <col min="1" max="1" width="110" customWidth="1"/>
  </cols>
  <sheetData>
    <row r="1" ht="24" customHeight="1" spans="1:1" x14ac:dyDescent="0.25">
      <c r="A1" s="1" t="s">
        <v>0</v>
      </c>
    </row>
    <row r="2" ht="28" customHeight="1" spans="1:1" x14ac:dyDescent="0.25">
      <c r="A2" s="2" t="s">
        <v>1</v>
      </c>
    </row>
    <row r="4" spans="1:1" x14ac:dyDescent="0.25">
      <c r="A4" s="3" t="s">
        <v>2</v>
      </c>
    </row>
    <row r="5" spans="1:1" x14ac:dyDescent="0.25">
      <c r="A5" s="4" t="s">
        <v>3</v>
      </c>
    </row>
    <row r="6" spans="1:1" x14ac:dyDescent="0.25">
      <c r="A6" s="4" t="s">
        <v>4</v>
      </c>
    </row>
    <row r="7" spans="1:1" x14ac:dyDescent="0.25">
      <c r="A7" s="3" t="s">
        <v>5</v>
      </c>
    </row>
    <row r="8" spans="1:1" x14ac:dyDescent="0.25">
      <c r="A8" s="4" t="s">
        <v>6</v>
      </c>
    </row>
    <row r="9" spans="1:1" x14ac:dyDescent="0.25">
      <c r="A9" s="4" t="s">
        <v>7</v>
      </c>
    </row>
    <row r="10" spans="1:1" x14ac:dyDescent="0.25">
      <c r="A10" s="4" t="s">
        <v>8</v>
      </c>
    </row>
    <row r="11" spans="1:1" x14ac:dyDescent="0.25">
      <c r="A11" s="4" t="s">
        <v>9</v>
      </c>
    </row>
    <row r="12" spans="1:1" x14ac:dyDescent="0.25">
      <c r="A12" s="4" t="s">
        <v>10</v>
      </c>
    </row>
    <row r="13" spans="1:1" x14ac:dyDescent="0.25">
      <c r="A13" s="4" t="s">
        <v>11</v>
      </c>
    </row>
    <row r="14" spans="1:1" x14ac:dyDescent="0.25">
      <c r="A14" s="4" t="s">
        <v>12</v>
      </c>
    </row>
    <row r="15" spans="1:1" x14ac:dyDescent="0.25">
      <c r="A15" s="4" t="s">
        <v>13</v>
      </c>
    </row>
    <row r="16" spans="1:1" x14ac:dyDescent="0.25">
      <c r="A16" s="4" t="s">
        <v>14</v>
      </c>
    </row>
    <row r="17" spans="1:1" x14ac:dyDescent="0.25">
      <c r="A17" s="4" t="s">
        <v>4</v>
      </c>
    </row>
    <row r="18" spans="1:1" x14ac:dyDescent="0.25">
      <c r="A18" s="3" t="s">
        <v>15</v>
      </c>
    </row>
    <row r="19" spans="1:1" x14ac:dyDescent="0.25">
      <c r="A19" s="4" t="s">
        <v>16</v>
      </c>
    </row>
    <row r="20" spans="1:1" x14ac:dyDescent="0.25">
      <c r="A20" s="4" t="s">
        <v>4</v>
      </c>
    </row>
    <row r="21" spans="1:1" x14ac:dyDescent="0.25">
      <c r="A21" s="3" t="s">
        <v>17</v>
      </c>
    </row>
    <row r="22" spans="1:1" x14ac:dyDescent="0.25">
      <c r="A22" s="4" t="s">
        <v>18</v>
      </c>
    </row>
    <row r="23" spans="1:1" x14ac:dyDescent="0.25">
      <c r="A23" s="4" t="s">
        <v>4</v>
      </c>
    </row>
    <row r="24" spans="1:1" x14ac:dyDescent="0.25">
      <c r="A24" s="3" t="s">
        <v>19</v>
      </c>
    </row>
    <row r="25" spans="1:1" x14ac:dyDescent="0.25">
      <c r="A25" s="4" t="s">
        <v>20</v>
      </c>
    </row>
    <row r="26" spans="1:1" x14ac:dyDescent="0.25">
      <c r="A26" s="4" t="s">
        <v>4</v>
      </c>
    </row>
    <row r="27" spans="1:1" x14ac:dyDescent="0.25">
      <c r="A27" s="3" t="s">
        <v>21</v>
      </c>
    </row>
    <row r="28" spans="1:1" x14ac:dyDescent="0.25">
      <c r="A28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9CC6"/>
  </sheetPr>
  <dimension ref="A1:C6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8" customWidth="1"/>
    <col min="3" max="3" width="90" customWidth="1"/>
  </cols>
  <sheetData>
    <row r="1" ht="24" customHeight="1" spans="1:1" x14ac:dyDescent="0.25">
      <c r="A1" s="1" t="s">
        <v>23</v>
      </c>
    </row>
    <row r="2" ht="28" customHeight="1" spans="1:3" x14ac:dyDescent="0.25">
      <c r="A2" s="2" t="s">
        <v>24</v>
      </c>
      <c r="B2" s="2"/>
      <c r="C2" s="2"/>
    </row>
    <row r="4" ht="30" customHeight="1" spans="1:3" x14ac:dyDescent="0.25">
      <c r="A4" s="5" t="s">
        <v>25</v>
      </c>
      <c r="B4" s="5" t="s">
        <v>26</v>
      </c>
      <c r="C4" s="5" t="s">
        <v>27</v>
      </c>
    </row>
    <row r="5" spans="1:3" x14ac:dyDescent="0.25">
      <c r="A5" s="6" t="s">
        <v>28</v>
      </c>
      <c r="B5" s="7">
        <v>46118</v>
      </c>
      <c r="C5" s="8" t="s">
        <v>29</v>
      </c>
    </row>
    <row r="6" spans="1:3" x14ac:dyDescent="0.25">
      <c r="A6" s="6" t="s">
        <v>30</v>
      </c>
      <c r="B6" s="9">
        <f>DATE(YEAR(TaxYearStart)+1,4,5)</f>
      </c>
      <c r="C6" s="8" t="s">
        <v>31</v>
      </c>
    </row>
    <row r="7" spans="1:3" x14ac:dyDescent="0.25">
      <c r="A7" s="6" t="s">
        <v>32</v>
      </c>
      <c r="B7" s="10" t="s">
        <v>33</v>
      </c>
      <c r="C7" s="8" t="s">
        <v>34</v>
      </c>
    </row>
    <row r="8" spans="1:3" x14ac:dyDescent="0.25">
      <c r="A8" s="6" t="s">
        <v>35</v>
      </c>
      <c r="B8" s="10" t="s">
        <v>36</v>
      </c>
      <c r="C8" s="8" t="s">
        <v>37</v>
      </c>
    </row>
    <row r="10" spans="1:3" x14ac:dyDescent="0.25">
      <c r="A10" s="6" t="s">
        <v>38</v>
      </c>
      <c r="B10" s="11">
        <v>12570</v>
      </c>
      <c r="C10" s="8" t="s">
        <v>39</v>
      </c>
    </row>
    <row r="11" spans="1:3" x14ac:dyDescent="0.25">
      <c r="A11" s="6" t="s">
        <v>40</v>
      </c>
      <c r="B11" s="11">
        <v>100000</v>
      </c>
      <c r="C11" s="8" t="s">
        <v>41</v>
      </c>
    </row>
    <row r="12" spans="1:3" x14ac:dyDescent="0.25">
      <c r="A12" s="6" t="s">
        <v>42</v>
      </c>
      <c r="B12" s="11">
        <v>37700</v>
      </c>
      <c r="C12" s="8" t="s">
        <v>43</v>
      </c>
    </row>
    <row r="13" spans="1:3" x14ac:dyDescent="0.25">
      <c r="A13" s="6" t="s">
        <v>44</v>
      </c>
      <c r="B13" s="11">
        <v>125140</v>
      </c>
      <c r="C13" s="8" t="s">
        <v>45</v>
      </c>
    </row>
    <row r="14" spans="1:3" x14ac:dyDescent="0.25">
      <c r="A14" s="6" t="s">
        <v>46</v>
      </c>
      <c r="B14" s="12">
        <v>0.2</v>
      </c>
      <c r="C14" s="8" t="s">
        <v>47</v>
      </c>
    </row>
    <row r="15" spans="1:3" x14ac:dyDescent="0.25">
      <c r="A15" s="6" t="s">
        <v>48</v>
      </c>
      <c r="B15" s="12">
        <v>0.4</v>
      </c>
      <c r="C15" s="8" t="s">
        <v>4</v>
      </c>
    </row>
    <row r="16" spans="1:3" x14ac:dyDescent="0.25">
      <c r="A16" s="6" t="s">
        <v>49</v>
      </c>
      <c r="B16" s="12">
        <v>0.45</v>
      </c>
      <c r="C16" s="8" t="s">
        <v>4</v>
      </c>
    </row>
    <row r="18" spans="1:3" x14ac:dyDescent="0.25">
      <c r="A18" s="6" t="s">
        <v>50</v>
      </c>
      <c r="B18" s="11">
        <v>12570</v>
      </c>
      <c r="C18" s="8" t="s">
        <v>51</v>
      </c>
    </row>
    <row r="19" spans="1:3" x14ac:dyDescent="0.25">
      <c r="A19" s="6" t="s">
        <v>52</v>
      </c>
      <c r="B19" s="11">
        <v>50270</v>
      </c>
      <c r="C19" s="8" t="s">
        <v>4</v>
      </c>
    </row>
    <row r="20" spans="1:3" x14ac:dyDescent="0.25">
      <c r="A20" s="6" t="s">
        <v>53</v>
      </c>
      <c r="B20" s="12">
        <v>0.06</v>
      </c>
      <c r="C20" s="8" t="s">
        <v>4</v>
      </c>
    </row>
    <row r="21" spans="1:3" x14ac:dyDescent="0.25">
      <c r="A21" s="6" t="s">
        <v>54</v>
      </c>
      <c r="B21" s="12">
        <v>0.02</v>
      </c>
      <c r="C21" s="8" t="s">
        <v>4</v>
      </c>
    </row>
    <row r="22" spans="1:3" x14ac:dyDescent="0.25">
      <c r="A22" s="6" t="s">
        <v>55</v>
      </c>
      <c r="B22" s="11">
        <v>7105</v>
      </c>
      <c r="C22" s="8" t="s">
        <v>56</v>
      </c>
    </row>
    <row r="23" spans="1:3" x14ac:dyDescent="0.25">
      <c r="A23" s="6" t="s">
        <v>57</v>
      </c>
      <c r="B23" s="13">
        <v>3.65</v>
      </c>
      <c r="C23" s="8" t="s">
        <v>58</v>
      </c>
    </row>
    <row r="25" spans="1:3" x14ac:dyDescent="0.25">
      <c r="A25" s="6" t="s">
        <v>59</v>
      </c>
      <c r="B25" s="11">
        <v>1000</v>
      </c>
      <c r="C25" s="8" t="s">
        <v>60</v>
      </c>
    </row>
    <row r="27" spans="1:3" x14ac:dyDescent="0.25">
      <c r="A27" s="6" t="s">
        <v>61</v>
      </c>
      <c r="B27" s="13">
        <v>0.45</v>
      </c>
      <c r="C27" s="8" t="s">
        <v>62</v>
      </c>
    </row>
    <row r="28" spans="1:3" x14ac:dyDescent="0.25">
      <c r="A28" s="6" t="s">
        <v>63</v>
      </c>
      <c r="B28" s="14">
        <v>10000</v>
      </c>
      <c r="C28" s="8" t="s">
        <v>64</v>
      </c>
    </row>
    <row r="29" spans="1:3" x14ac:dyDescent="0.25">
      <c r="A29" s="6" t="s">
        <v>65</v>
      </c>
      <c r="B29" s="13">
        <v>0.25</v>
      </c>
      <c r="C29" s="8" t="s">
        <v>4</v>
      </c>
    </row>
    <row r="30" spans="1:3" x14ac:dyDescent="0.25">
      <c r="A30" s="6" t="s">
        <v>66</v>
      </c>
      <c r="B30" s="13">
        <v>0.24</v>
      </c>
      <c r="C30" s="8" t="s">
        <v>4</v>
      </c>
    </row>
    <row r="31" spans="1:3" x14ac:dyDescent="0.25">
      <c r="A31" s="6" t="s">
        <v>67</v>
      </c>
      <c r="B31" s="13">
        <v>0.2</v>
      </c>
      <c r="C31" s="8" t="s">
        <v>4</v>
      </c>
    </row>
    <row r="33" spans="1:3" x14ac:dyDescent="0.25">
      <c r="A33" s="6" t="s">
        <v>68</v>
      </c>
      <c r="B33" s="11">
        <v>1000</v>
      </c>
      <c r="C33" s="8" t="s">
        <v>69</v>
      </c>
    </row>
    <row r="34" spans="1:3" x14ac:dyDescent="0.25">
      <c r="A34" s="6" t="s">
        <v>70</v>
      </c>
      <c r="B34" s="12">
        <v>0.8</v>
      </c>
      <c r="C34" s="8" t="s">
        <v>71</v>
      </c>
    </row>
    <row r="35" spans="1:3" x14ac:dyDescent="0.25">
      <c r="A35" s="6" t="s">
        <v>72</v>
      </c>
      <c r="B35" s="11">
        <v>50000</v>
      </c>
      <c r="C35" s="8" t="s">
        <v>73</v>
      </c>
    </row>
    <row r="37" ht="30" customHeight="1" spans="1:3" x14ac:dyDescent="0.25">
      <c r="A37" s="5" t="s">
        <v>74</v>
      </c>
      <c r="B37" s="5" t="s">
        <v>75</v>
      </c>
      <c r="C37" s="5" t="s">
        <v>76</v>
      </c>
    </row>
    <row r="38" spans="1:3" x14ac:dyDescent="0.25">
      <c r="A38" s="6" t="s">
        <v>77</v>
      </c>
      <c r="C38" s="8" t="s">
        <v>78</v>
      </c>
    </row>
    <row r="39" spans="1:3" x14ac:dyDescent="0.25">
      <c r="A39" s="6" t="s">
        <v>79</v>
      </c>
      <c r="C39" s="8" t="s">
        <v>78</v>
      </c>
    </row>
    <row r="41" spans="1:3" x14ac:dyDescent="0.25">
      <c r="A41" s="6" t="s">
        <v>80</v>
      </c>
      <c r="B41" s="15">
        <v>11</v>
      </c>
      <c r="C41" s="8" t="s">
        <v>81</v>
      </c>
    </row>
    <row r="42" spans="1:3" x14ac:dyDescent="0.25">
      <c r="A42" s="6" t="s">
        <v>82</v>
      </c>
      <c r="B42" s="15">
        <v>12</v>
      </c>
      <c r="C42" s="8" t="s">
        <v>83</v>
      </c>
    </row>
    <row r="43" spans="1:3" x14ac:dyDescent="0.25">
      <c r="A43" s="6" t="s">
        <v>84</v>
      </c>
      <c r="B43" s="15">
        <v>13</v>
      </c>
      <c r="C43" s="8" t="s">
        <v>85</v>
      </c>
    </row>
    <row r="44" spans="1:3" x14ac:dyDescent="0.25">
      <c r="A44" s="6" t="s">
        <v>86</v>
      </c>
      <c r="B44" s="15">
        <v>14</v>
      </c>
      <c r="C44" s="8" t="s">
        <v>87</v>
      </c>
    </row>
    <row r="45" spans="1:3" x14ac:dyDescent="0.25">
      <c r="A45" s="6" t="s">
        <v>88</v>
      </c>
      <c r="B45" s="15">
        <v>15</v>
      </c>
      <c r="C45" s="8" t="s">
        <v>89</v>
      </c>
    </row>
    <row r="46" spans="1:3" x14ac:dyDescent="0.25">
      <c r="A46" s="6" t="s">
        <v>90</v>
      </c>
      <c r="B46" s="15">
        <v>16</v>
      </c>
      <c r="C46" s="8" t="s">
        <v>91</v>
      </c>
    </row>
    <row r="47" spans="1:3" x14ac:dyDescent="0.25">
      <c r="A47" s="6" t="s">
        <v>92</v>
      </c>
      <c r="B47" s="15">
        <v>17</v>
      </c>
      <c r="C47" s="8" t="s">
        <v>93</v>
      </c>
    </row>
    <row r="48" spans="1:3" x14ac:dyDescent="0.25">
      <c r="A48" s="6" t="s">
        <v>94</v>
      </c>
      <c r="B48" s="15">
        <v>18</v>
      </c>
      <c r="C48" s="8" t="s">
        <v>95</v>
      </c>
    </row>
    <row r="49" spans="1:3" x14ac:dyDescent="0.25">
      <c r="A49" s="6" t="s">
        <v>96</v>
      </c>
      <c r="B49" s="15">
        <v>19</v>
      </c>
      <c r="C49" s="8" t="s">
        <v>97</v>
      </c>
    </row>
    <row r="50" spans="1:3" x14ac:dyDescent="0.25">
      <c r="A50" s="6" t="s">
        <v>98</v>
      </c>
      <c r="B50" s="15">
        <v>23</v>
      </c>
      <c r="C50" s="8" t="s">
        <v>99</v>
      </c>
    </row>
    <row r="51" spans="1:3" x14ac:dyDescent="0.25">
      <c r="A51" s="6" t="s">
        <v>100</v>
      </c>
      <c r="B51" s="15" t="s">
        <v>101</v>
      </c>
      <c r="C51" s="8" t="s">
        <v>102</v>
      </c>
    </row>
    <row r="53" spans="1:3" x14ac:dyDescent="0.25">
      <c r="A53" s="6" t="s">
        <v>103</v>
      </c>
      <c r="C53" s="8" t="s">
        <v>104</v>
      </c>
    </row>
    <row r="54" spans="1:3" x14ac:dyDescent="0.25">
      <c r="A54" s="6" t="s">
        <v>105</v>
      </c>
      <c r="C54" s="8" t="s">
        <v>104</v>
      </c>
    </row>
    <row r="55" spans="1:3" x14ac:dyDescent="0.25">
      <c r="A55" s="6" t="s">
        <v>106</v>
      </c>
      <c r="C55" s="8" t="s">
        <v>104</v>
      </c>
    </row>
    <row r="57" spans="1:1" x14ac:dyDescent="0.25">
      <c r="A57" s="6" t="s">
        <v>33</v>
      </c>
    </row>
    <row r="58" spans="1:1" x14ac:dyDescent="0.25">
      <c r="A58" s="6" t="s">
        <v>107</v>
      </c>
    </row>
    <row r="60" spans="1:1" x14ac:dyDescent="0.25">
      <c r="A60" s="6" t="s">
        <v>36</v>
      </c>
    </row>
    <row r="61" spans="1:1" x14ac:dyDescent="0.25">
      <c r="A61" s="6" t="s">
        <v>108</v>
      </c>
    </row>
    <row r="62" spans="1:1" x14ac:dyDescent="0.25">
      <c r="A62" s="6" t="s">
        <v>109</v>
      </c>
    </row>
  </sheetData>
  <mergeCells count="1">
    <mergeCell ref="A2:C2"/>
  </mergeCells>
  <dataValidations count="2">
    <dataValidation type="list" allowBlank="1" showErrorMessage="1" errorTitle="Pick from the list" error="Choose one of the options in the drop-down (set on the Setup tab)." sqref="B7:B7">
      <formula1>QuarterBases</formula1>
    </dataValidation>
    <dataValidation type="list" allowBlank="1" showErrorMessage="1" errorTitle="Pick from the list" error="Choose one of the options in the drop-down (set on the Setup tab)." sqref="B8:B8">
      <formula1>ProfitMethods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FBF8F"/>
  </sheetPr>
  <dimension ref="A1:E50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0" customWidth="1"/>
    <col min="3" max="3" width="32" customWidth="1"/>
    <col min="4" max="4" width="16" customWidth="1"/>
    <col min="5" max="5" width="40" customWidth="1"/>
  </cols>
  <sheetData>
    <row r="1" ht="24" customHeight="1" spans="1:1" x14ac:dyDescent="0.25">
      <c r="A1" s="1" t="s">
        <v>110</v>
      </c>
    </row>
    <row r="2" ht="28" customHeight="1" spans="1:5" x14ac:dyDescent="0.25">
      <c r="A2" s="2" t="s">
        <v>111</v>
      </c>
      <c r="B2" s="2"/>
      <c r="C2" s="2"/>
      <c r="D2" s="2"/>
      <c r="E2" s="2"/>
    </row>
    <row r="3" spans="3:4" x14ac:dyDescent="0.25">
      <c r="C3" s="6" t="s">
        <v>112</v>
      </c>
      <c r="D3" s="16">
        <f>SUM(D6:D505)</f>
      </c>
    </row>
    <row r="5" ht="30" customHeight="1" spans="1:5" x14ac:dyDescent="0.25">
      <c r="A5" s="5" t="s">
        <v>113</v>
      </c>
      <c r="B5" s="5" t="s">
        <v>114</v>
      </c>
      <c r="C5" s="5" t="s">
        <v>115</v>
      </c>
      <c r="D5" s="5" t="s">
        <v>116</v>
      </c>
      <c r="E5" s="5" t="s">
        <v>117</v>
      </c>
    </row>
    <row r="6" spans="1:5" x14ac:dyDescent="0.25">
      <c r="A6" s="7">
        <v>46126</v>
      </c>
      <c r="B6" s="10" t="s">
        <v>118</v>
      </c>
      <c r="C6" s="10" t="s">
        <v>77</v>
      </c>
      <c r="D6" s="13">
        <v>1250</v>
      </c>
      <c r="E6" s="10" t="s">
        <v>119</v>
      </c>
    </row>
    <row r="7" spans="1:5" x14ac:dyDescent="0.25">
      <c r="A7" s="7"/>
      <c r="B7" s="10"/>
      <c r="C7" s="10"/>
      <c r="D7" s="13"/>
      <c r="E7" s="10"/>
    </row>
    <row r="8" spans="1:5" x14ac:dyDescent="0.25">
      <c r="A8" s="7"/>
      <c r="B8" s="10"/>
      <c r="C8" s="10"/>
      <c r="D8" s="13"/>
      <c r="E8" s="10"/>
    </row>
    <row r="9" spans="1:5" x14ac:dyDescent="0.25">
      <c r="A9" s="7"/>
      <c r="B9" s="10"/>
      <c r="C9" s="10"/>
      <c r="D9" s="13"/>
      <c r="E9" s="10"/>
    </row>
    <row r="10" spans="1:5" x14ac:dyDescent="0.25">
      <c r="A10" s="7"/>
      <c r="B10" s="10"/>
      <c r="C10" s="10"/>
      <c r="D10" s="13"/>
      <c r="E10" s="10"/>
    </row>
    <row r="11" spans="1:5" x14ac:dyDescent="0.25">
      <c r="A11" s="7"/>
      <c r="B11" s="10"/>
      <c r="C11" s="10"/>
      <c r="D11" s="13"/>
      <c r="E11" s="10"/>
    </row>
    <row r="12" spans="1:5" x14ac:dyDescent="0.25">
      <c r="A12" s="7"/>
      <c r="B12" s="10"/>
      <c r="C12" s="10"/>
      <c r="D12" s="13"/>
      <c r="E12" s="10"/>
    </row>
    <row r="13" spans="1:5" x14ac:dyDescent="0.25">
      <c r="A13" s="7"/>
      <c r="B13" s="10"/>
      <c r="C13" s="10"/>
      <c r="D13" s="13"/>
      <c r="E13" s="10"/>
    </row>
    <row r="14" spans="1:5" x14ac:dyDescent="0.25">
      <c r="A14" s="7"/>
      <c r="B14" s="10"/>
      <c r="C14" s="10"/>
      <c r="D14" s="13"/>
      <c r="E14" s="10"/>
    </row>
    <row r="15" spans="1:5" x14ac:dyDescent="0.25">
      <c r="A15" s="7"/>
      <c r="B15" s="10"/>
      <c r="C15" s="10"/>
      <c r="D15" s="13"/>
      <c r="E15" s="10"/>
    </row>
    <row r="16" spans="1:5" x14ac:dyDescent="0.25">
      <c r="A16" s="7"/>
      <c r="B16" s="10"/>
      <c r="C16" s="10"/>
      <c r="D16" s="13"/>
      <c r="E16" s="10"/>
    </row>
    <row r="17" spans="1:5" x14ac:dyDescent="0.25">
      <c r="A17" s="7"/>
      <c r="B17" s="10"/>
      <c r="C17" s="10"/>
      <c r="D17" s="13"/>
      <c r="E17" s="10"/>
    </row>
    <row r="18" spans="1:5" x14ac:dyDescent="0.25">
      <c r="A18" s="7"/>
      <c r="B18" s="10"/>
      <c r="C18" s="10"/>
      <c r="D18" s="13"/>
      <c r="E18" s="10"/>
    </row>
    <row r="19" spans="1:5" x14ac:dyDescent="0.25">
      <c r="A19" s="7"/>
      <c r="B19" s="10"/>
      <c r="C19" s="10"/>
      <c r="D19" s="13"/>
      <c r="E19" s="10"/>
    </row>
    <row r="20" spans="1:5" x14ac:dyDescent="0.25">
      <c r="A20" s="7"/>
      <c r="B20" s="10"/>
      <c r="C20" s="10"/>
      <c r="D20" s="13"/>
      <c r="E20" s="10"/>
    </row>
    <row r="21" spans="1:5" x14ac:dyDescent="0.25">
      <c r="A21" s="7"/>
      <c r="B21" s="10"/>
      <c r="C21" s="10"/>
      <c r="D21" s="13"/>
      <c r="E21" s="10"/>
    </row>
    <row r="22" spans="1:5" x14ac:dyDescent="0.25">
      <c r="A22" s="7"/>
      <c r="B22" s="10"/>
      <c r="C22" s="10"/>
      <c r="D22" s="13"/>
      <c r="E22" s="10"/>
    </row>
    <row r="23" spans="1:5" x14ac:dyDescent="0.25">
      <c r="A23" s="7"/>
      <c r="B23" s="10"/>
      <c r="C23" s="10"/>
      <c r="D23" s="13"/>
      <c r="E23" s="10"/>
    </row>
    <row r="24" spans="1:5" x14ac:dyDescent="0.25">
      <c r="A24" s="7"/>
      <c r="B24" s="10"/>
      <c r="C24" s="10"/>
      <c r="D24" s="13"/>
      <c r="E24" s="10"/>
    </row>
    <row r="25" spans="1:5" x14ac:dyDescent="0.25">
      <c r="A25" s="7"/>
      <c r="B25" s="10"/>
      <c r="C25" s="10"/>
      <c r="D25" s="13"/>
      <c r="E25" s="10"/>
    </row>
    <row r="26" spans="1:5" x14ac:dyDescent="0.25">
      <c r="A26" s="7"/>
      <c r="B26" s="10"/>
      <c r="C26" s="10"/>
      <c r="D26" s="13"/>
      <c r="E26" s="10"/>
    </row>
    <row r="27" spans="1:5" x14ac:dyDescent="0.25">
      <c r="A27" s="7"/>
      <c r="B27" s="10"/>
      <c r="C27" s="10"/>
      <c r="D27" s="13"/>
      <c r="E27" s="10"/>
    </row>
    <row r="28" spans="1:5" x14ac:dyDescent="0.25">
      <c r="A28" s="7"/>
      <c r="B28" s="10"/>
      <c r="C28" s="10"/>
      <c r="D28" s="13"/>
      <c r="E28" s="10"/>
    </row>
    <row r="29" spans="1:5" x14ac:dyDescent="0.25">
      <c r="A29" s="7"/>
      <c r="B29" s="10"/>
      <c r="C29" s="10"/>
      <c r="D29" s="13"/>
      <c r="E29" s="10"/>
    </row>
    <row r="30" spans="1:5" x14ac:dyDescent="0.25">
      <c r="A30" s="7"/>
      <c r="B30" s="10"/>
      <c r="C30" s="10"/>
      <c r="D30" s="13"/>
      <c r="E30" s="10"/>
    </row>
    <row r="31" spans="1:5" x14ac:dyDescent="0.25">
      <c r="A31" s="7"/>
      <c r="B31" s="10"/>
      <c r="C31" s="10"/>
      <c r="D31" s="13"/>
      <c r="E31" s="10"/>
    </row>
    <row r="32" spans="1:5" x14ac:dyDescent="0.25">
      <c r="A32" s="7"/>
      <c r="B32" s="10"/>
      <c r="C32" s="10"/>
      <c r="D32" s="13"/>
      <c r="E32" s="10"/>
    </row>
    <row r="33" spans="1:5" x14ac:dyDescent="0.25">
      <c r="A33" s="7"/>
      <c r="B33" s="10"/>
      <c r="C33" s="10"/>
      <c r="D33" s="13"/>
      <c r="E33" s="10"/>
    </row>
    <row r="34" spans="1:5" x14ac:dyDescent="0.25">
      <c r="A34" s="7"/>
      <c r="B34" s="10"/>
      <c r="C34" s="10"/>
      <c r="D34" s="13"/>
      <c r="E34" s="10"/>
    </row>
    <row r="35" spans="1:5" x14ac:dyDescent="0.25">
      <c r="A35" s="7"/>
      <c r="B35" s="10"/>
      <c r="C35" s="10"/>
      <c r="D35" s="13"/>
      <c r="E35" s="10"/>
    </row>
    <row r="36" spans="1:5" x14ac:dyDescent="0.25">
      <c r="A36" s="7"/>
      <c r="B36" s="10"/>
      <c r="C36" s="10"/>
      <c r="D36" s="13"/>
      <c r="E36" s="10"/>
    </row>
    <row r="37" spans="1:5" x14ac:dyDescent="0.25">
      <c r="A37" s="7"/>
      <c r="B37" s="10"/>
      <c r="C37" s="10"/>
      <c r="D37" s="13"/>
      <c r="E37" s="10"/>
    </row>
    <row r="38" spans="1:5" x14ac:dyDescent="0.25">
      <c r="A38" s="7"/>
      <c r="B38" s="10"/>
      <c r="C38" s="10"/>
      <c r="D38" s="13"/>
      <c r="E38" s="10"/>
    </row>
    <row r="39" spans="1:5" x14ac:dyDescent="0.25">
      <c r="A39" s="7"/>
      <c r="B39" s="10"/>
      <c r="C39" s="10"/>
      <c r="D39" s="13"/>
      <c r="E39" s="10"/>
    </row>
    <row r="40" spans="1:5" x14ac:dyDescent="0.25">
      <c r="A40" s="7"/>
      <c r="B40" s="10"/>
      <c r="C40" s="10"/>
      <c r="D40" s="13"/>
      <c r="E40" s="10"/>
    </row>
    <row r="41" spans="1:5" x14ac:dyDescent="0.25">
      <c r="A41" s="7"/>
      <c r="B41" s="10"/>
      <c r="C41" s="10"/>
      <c r="D41" s="13"/>
      <c r="E41" s="10"/>
    </row>
    <row r="42" spans="1:5" x14ac:dyDescent="0.25">
      <c r="A42" s="7"/>
      <c r="B42" s="10"/>
      <c r="C42" s="10"/>
      <c r="D42" s="13"/>
      <c r="E42" s="10"/>
    </row>
    <row r="43" spans="1:5" x14ac:dyDescent="0.25">
      <c r="A43" s="7"/>
      <c r="B43" s="10"/>
      <c r="C43" s="10"/>
      <c r="D43" s="13"/>
      <c r="E43" s="10"/>
    </row>
    <row r="44" spans="1:5" x14ac:dyDescent="0.25">
      <c r="A44" s="7"/>
      <c r="B44" s="10"/>
      <c r="C44" s="10"/>
      <c r="D44" s="13"/>
      <c r="E44" s="10"/>
    </row>
    <row r="45" spans="1:5" x14ac:dyDescent="0.25">
      <c r="A45" s="7"/>
      <c r="B45" s="10"/>
      <c r="C45" s="10"/>
      <c r="D45" s="13"/>
      <c r="E45" s="10"/>
    </row>
    <row r="46" spans="1:5" x14ac:dyDescent="0.25">
      <c r="A46" s="7"/>
      <c r="B46" s="10"/>
      <c r="C46" s="10"/>
      <c r="D46" s="13"/>
      <c r="E46" s="10"/>
    </row>
    <row r="47" spans="1:5" x14ac:dyDescent="0.25">
      <c r="A47" s="7"/>
      <c r="B47" s="10"/>
      <c r="C47" s="10"/>
      <c r="D47" s="13"/>
      <c r="E47" s="10"/>
    </row>
    <row r="48" spans="1:5" x14ac:dyDescent="0.25">
      <c r="A48" s="7"/>
      <c r="B48" s="10"/>
      <c r="C48" s="10"/>
      <c r="D48" s="13"/>
      <c r="E48" s="10"/>
    </row>
    <row r="49" spans="1:5" x14ac:dyDescent="0.25">
      <c r="A49" s="7"/>
      <c r="B49" s="10"/>
      <c r="C49" s="10"/>
      <c r="D49" s="13"/>
      <c r="E49" s="10"/>
    </row>
    <row r="50" spans="1:5" x14ac:dyDescent="0.25">
      <c r="A50" s="7"/>
      <c r="B50" s="10"/>
      <c r="C50" s="10"/>
      <c r="D50" s="13"/>
      <c r="E50" s="10"/>
    </row>
    <row r="51" spans="1:5" x14ac:dyDescent="0.25">
      <c r="A51" s="7"/>
      <c r="B51" s="10"/>
      <c r="C51" s="10"/>
      <c r="D51" s="13"/>
      <c r="E51" s="10"/>
    </row>
    <row r="52" spans="1:5" x14ac:dyDescent="0.25">
      <c r="A52" s="7"/>
      <c r="B52" s="10"/>
      <c r="C52" s="10"/>
      <c r="D52" s="13"/>
      <c r="E52" s="10"/>
    </row>
    <row r="53" spans="1:5" x14ac:dyDescent="0.25">
      <c r="A53" s="7"/>
      <c r="B53" s="10"/>
      <c r="C53" s="10"/>
      <c r="D53" s="13"/>
      <c r="E53" s="10"/>
    </row>
    <row r="54" spans="1:5" x14ac:dyDescent="0.25">
      <c r="A54" s="7"/>
      <c r="B54" s="10"/>
      <c r="C54" s="10"/>
      <c r="D54" s="13"/>
      <c r="E54" s="10"/>
    </row>
    <row r="55" spans="1:5" x14ac:dyDescent="0.25">
      <c r="A55" s="7"/>
      <c r="B55" s="10"/>
      <c r="C55" s="10"/>
      <c r="D55" s="13"/>
      <c r="E55" s="10"/>
    </row>
    <row r="56" spans="1:5" x14ac:dyDescent="0.25">
      <c r="A56" s="7"/>
      <c r="B56" s="10"/>
      <c r="C56" s="10"/>
      <c r="D56" s="13"/>
      <c r="E56" s="10"/>
    </row>
    <row r="57" spans="1:5" x14ac:dyDescent="0.25">
      <c r="A57" s="7"/>
      <c r="B57" s="10"/>
      <c r="C57" s="10"/>
      <c r="D57" s="13"/>
      <c r="E57" s="10"/>
    </row>
    <row r="58" spans="1:5" x14ac:dyDescent="0.25">
      <c r="A58" s="7"/>
      <c r="B58" s="10"/>
      <c r="C58" s="10"/>
      <c r="D58" s="13"/>
      <c r="E58" s="10"/>
    </row>
    <row r="59" spans="1:5" x14ac:dyDescent="0.25">
      <c r="A59" s="7"/>
      <c r="B59" s="10"/>
      <c r="C59" s="10"/>
      <c r="D59" s="13"/>
      <c r="E59" s="10"/>
    </row>
    <row r="60" spans="1:5" x14ac:dyDescent="0.25">
      <c r="A60" s="7"/>
      <c r="B60" s="10"/>
      <c r="C60" s="10"/>
      <c r="D60" s="13"/>
      <c r="E60" s="10"/>
    </row>
    <row r="61" spans="1:5" x14ac:dyDescent="0.25">
      <c r="A61" s="7"/>
      <c r="B61" s="10"/>
      <c r="C61" s="10"/>
      <c r="D61" s="13"/>
      <c r="E61" s="10"/>
    </row>
    <row r="62" spans="1:5" x14ac:dyDescent="0.25">
      <c r="A62" s="7"/>
      <c r="B62" s="10"/>
      <c r="C62" s="10"/>
      <c r="D62" s="13"/>
      <c r="E62" s="10"/>
    </row>
    <row r="63" spans="1:5" x14ac:dyDescent="0.25">
      <c r="A63" s="7"/>
      <c r="B63" s="10"/>
      <c r="C63" s="10"/>
      <c r="D63" s="13"/>
      <c r="E63" s="10"/>
    </row>
    <row r="64" spans="1:5" x14ac:dyDescent="0.25">
      <c r="A64" s="7"/>
      <c r="B64" s="10"/>
      <c r="C64" s="10"/>
      <c r="D64" s="13"/>
      <c r="E64" s="10"/>
    </row>
    <row r="65" spans="1:5" x14ac:dyDescent="0.25">
      <c r="A65" s="7"/>
      <c r="B65" s="10"/>
      <c r="C65" s="10"/>
      <c r="D65" s="13"/>
      <c r="E65" s="10"/>
    </row>
    <row r="66" spans="1:5" x14ac:dyDescent="0.25">
      <c r="A66" s="7"/>
      <c r="B66" s="10"/>
      <c r="C66" s="10"/>
      <c r="D66" s="13"/>
      <c r="E66" s="10"/>
    </row>
    <row r="67" spans="1:5" x14ac:dyDescent="0.25">
      <c r="A67" s="7"/>
      <c r="B67" s="10"/>
      <c r="C67" s="10"/>
      <c r="D67" s="13"/>
      <c r="E67" s="10"/>
    </row>
    <row r="68" spans="1:5" x14ac:dyDescent="0.25">
      <c r="A68" s="7"/>
      <c r="B68" s="10"/>
      <c r="C68" s="10"/>
      <c r="D68" s="13"/>
      <c r="E68" s="10"/>
    </row>
    <row r="69" spans="1:5" x14ac:dyDescent="0.25">
      <c r="A69" s="7"/>
      <c r="B69" s="10"/>
      <c r="C69" s="10"/>
      <c r="D69" s="13"/>
      <c r="E69" s="10"/>
    </row>
    <row r="70" spans="1:5" x14ac:dyDescent="0.25">
      <c r="A70" s="7"/>
      <c r="B70" s="10"/>
      <c r="C70" s="10"/>
      <c r="D70" s="13"/>
      <c r="E70" s="10"/>
    </row>
    <row r="71" spans="1:5" x14ac:dyDescent="0.25">
      <c r="A71" s="7"/>
      <c r="B71" s="10"/>
      <c r="C71" s="10"/>
      <c r="D71" s="13"/>
      <c r="E71" s="10"/>
    </row>
    <row r="72" spans="1:5" x14ac:dyDescent="0.25">
      <c r="A72" s="7"/>
      <c r="B72" s="10"/>
      <c r="C72" s="10"/>
      <c r="D72" s="13"/>
      <c r="E72" s="10"/>
    </row>
    <row r="73" spans="1:5" x14ac:dyDescent="0.25">
      <c r="A73" s="7"/>
      <c r="B73" s="10"/>
      <c r="C73" s="10"/>
      <c r="D73" s="13"/>
      <c r="E73" s="10"/>
    </row>
    <row r="74" spans="1:5" x14ac:dyDescent="0.25">
      <c r="A74" s="7"/>
      <c r="B74" s="10"/>
      <c r="C74" s="10"/>
      <c r="D74" s="13"/>
      <c r="E74" s="10"/>
    </row>
    <row r="75" spans="1:5" x14ac:dyDescent="0.25">
      <c r="A75" s="7"/>
      <c r="B75" s="10"/>
      <c r="C75" s="10"/>
      <c r="D75" s="13"/>
      <c r="E75" s="10"/>
    </row>
    <row r="76" spans="1:5" x14ac:dyDescent="0.25">
      <c r="A76" s="7"/>
      <c r="B76" s="10"/>
      <c r="C76" s="10"/>
      <c r="D76" s="13"/>
      <c r="E76" s="10"/>
    </row>
    <row r="77" spans="1:5" x14ac:dyDescent="0.25">
      <c r="A77" s="7"/>
      <c r="B77" s="10"/>
      <c r="C77" s="10"/>
      <c r="D77" s="13"/>
      <c r="E77" s="10"/>
    </row>
    <row r="78" spans="1:5" x14ac:dyDescent="0.25">
      <c r="A78" s="7"/>
      <c r="B78" s="10"/>
      <c r="C78" s="10"/>
      <c r="D78" s="13"/>
      <c r="E78" s="10"/>
    </row>
    <row r="79" spans="1:5" x14ac:dyDescent="0.25">
      <c r="A79" s="7"/>
      <c r="B79" s="10"/>
      <c r="C79" s="10"/>
      <c r="D79" s="13"/>
      <c r="E79" s="10"/>
    </row>
    <row r="80" spans="1:5" x14ac:dyDescent="0.25">
      <c r="A80" s="7"/>
      <c r="B80" s="10"/>
      <c r="C80" s="10"/>
      <c r="D80" s="13"/>
      <c r="E80" s="10"/>
    </row>
    <row r="81" spans="1:5" x14ac:dyDescent="0.25">
      <c r="A81" s="7"/>
      <c r="B81" s="10"/>
      <c r="C81" s="10"/>
      <c r="D81" s="13"/>
      <c r="E81" s="10"/>
    </row>
    <row r="82" spans="1:5" x14ac:dyDescent="0.25">
      <c r="A82" s="7"/>
      <c r="B82" s="10"/>
      <c r="C82" s="10"/>
      <c r="D82" s="13"/>
      <c r="E82" s="10"/>
    </row>
    <row r="83" spans="1:5" x14ac:dyDescent="0.25">
      <c r="A83" s="7"/>
      <c r="B83" s="10"/>
      <c r="C83" s="10"/>
      <c r="D83" s="13"/>
      <c r="E83" s="10"/>
    </row>
    <row r="84" spans="1:5" x14ac:dyDescent="0.25">
      <c r="A84" s="7"/>
      <c r="B84" s="10"/>
      <c r="C84" s="10"/>
      <c r="D84" s="13"/>
      <c r="E84" s="10"/>
    </row>
    <row r="85" spans="1:5" x14ac:dyDescent="0.25">
      <c r="A85" s="7"/>
      <c r="B85" s="10"/>
      <c r="C85" s="10"/>
      <c r="D85" s="13"/>
      <c r="E85" s="10"/>
    </row>
    <row r="86" spans="1:5" x14ac:dyDescent="0.25">
      <c r="A86" s="7"/>
      <c r="B86" s="10"/>
      <c r="C86" s="10"/>
      <c r="D86" s="13"/>
      <c r="E86" s="10"/>
    </row>
    <row r="87" spans="1:5" x14ac:dyDescent="0.25">
      <c r="A87" s="7"/>
      <c r="B87" s="10"/>
      <c r="C87" s="10"/>
      <c r="D87" s="13"/>
      <c r="E87" s="10"/>
    </row>
    <row r="88" spans="1:5" x14ac:dyDescent="0.25">
      <c r="A88" s="7"/>
      <c r="B88" s="10"/>
      <c r="C88" s="10"/>
      <c r="D88" s="13"/>
      <c r="E88" s="10"/>
    </row>
    <row r="89" spans="1:5" x14ac:dyDescent="0.25">
      <c r="A89" s="7"/>
      <c r="B89" s="10"/>
      <c r="C89" s="10"/>
      <c r="D89" s="13"/>
      <c r="E89" s="10"/>
    </row>
    <row r="90" spans="1:5" x14ac:dyDescent="0.25">
      <c r="A90" s="7"/>
      <c r="B90" s="10"/>
      <c r="C90" s="10"/>
      <c r="D90" s="13"/>
      <c r="E90" s="10"/>
    </row>
    <row r="91" spans="1:5" x14ac:dyDescent="0.25">
      <c r="A91" s="7"/>
      <c r="B91" s="10"/>
      <c r="C91" s="10"/>
      <c r="D91" s="13"/>
      <c r="E91" s="10"/>
    </row>
    <row r="92" spans="1:5" x14ac:dyDescent="0.25">
      <c r="A92" s="7"/>
      <c r="B92" s="10"/>
      <c r="C92" s="10"/>
      <c r="D92" s="13"/>
      <c r="E92" s="10"/>
    </row>
    <row r="93" spans="1:5" x14ac:dyDescent="0.25">
      <c r="A93" s="7"/>
      <c r="B93" s="10"/>
      <c r="C93" s="10"/>
      <c r="D93" s="13"/>
      <c r="E93" s="10"/>
    </row>
    <row r="94" spans="1:5" x14ac:dyDescent="0.25">
      <c r="A94" s="7"/>
      <c r="B94" s="10"/>
      <c r="C94" s="10"/>
      <c r="D94" s="13"/>
      <c r="E94" s="10"/>
    </row>
    <row r="95" spans="1:5" x14ac:dyDescent="0.25">
      <c r="A95" s="7"/>
      <c r="B95" s="10"/>
      <c r="C95" s="10"/>
      <c r="D95" s="13"/>
      <c r="E95" s="10"/>
    </row>
    <row r="96" spans="1:5" x14ac:dyDescent="0.25">
      <c r="A96" s="7"/>
      <c r="B96" s="10"/>
      <c r="C96" s="10"/>
      <c r="D96" s="13"/>
      <c r="E96" s="10"/>
    </row>
    <row r="97" spans="1:5" x14ac:dyDescent="0.25">
      <c r="A97" s="7"/>
      <c r="B97" s="10"/>
      <c r="C97" s="10"/>
      <c r="D97" s="13"/>
      <c r="E97" s="10"/>
    </row>
    <row r="98" spans="1:5" x14ac:dyDescent="0.25">
      <c r="A98" s="7"/>
      <c r="B98" s="10"/>
      <c r="C98" s="10"/>
      <c r="D98" s="13"/>
      <c r="E98" s="10"/>
    </row>
    <row r="99" spans="1:5" x14ac:dyDescent="0.25">
      <c r="A99" s="7"/>
      <c r="B99" s="10"/>
      <c r="C99" s="10"/>
      <c r="D99" s="13"/>
      <c r="E99" s="10"/>
    </row>
    <row r="100" spans="1:5" x14ac:dyDescent="0.25">
      <c r="A100" s="7"/>
      <c r="B100" s="10"/>
      <c r="C100" s="10"/>
      <c r="D100" s="13"/>
      <c r="E100" s="10"/>
    </row>
    <row r="101" spans="1:5" x14ac:dyDescent="0.25">
      <c r="A101" s="7"/>
      <c r="B101" s="10"/>
      <c r="C101" s="10"/>
      <c r="D101" s="13"/>
      <c r="E101" s="10"/>
    </row>
    <row r="102" spans="1:5" x14ac:dyDescent="0.25">
      <c r="A102" s="7"/>
      <c r="B102" s="10"/>
      <c r="C102" s="10"/>
      <c r="D102" s="13"/>
      <c r="E102" s="10"/>
    </row>
    <row r="103" spans="1:5" x14ac:dyDescent="0.25">
      <c r="A103" s="7"/>
      <c r="B103" s="10"/>
      <c r="C103" s="10"/>
      <c r="D103" s="13"/>
      <c r="E103" s="10"/>
    </row>
    <row r="104" spans="1:5" x14ac:dyDescent="0.25">
      <c r="A104" s="7"/>
      <c r="B104" s="10"/>
      <c r="C104" s="10"/>
      <c r="D104" s="13"/>
      <c r="E104" s="10"/>
    </row>
    <row r="105" spans="1:5" x14ac:dyDescent="0.25">
      <c r="A105" s="7"/>
      <c r="B105" s="10"/>
      <c r="C105" s="10"/>
      <c r="D105" s="13"/>
      <c r="E105" s="10"/>
    </row>
    <row r="106" spans="1:5" x14ac:dyDescent="0.25">
      <c r="A106" s="7"/>
      <c r="B106" s="10"/>
      <c r="C106" s="10"/>
      <c r="D106" s="13"/>
      <c r="E106" s="10"/>
    </row>
    <row r="107" spans="1:5" x14ac:dyDescent="0.25">
      <c r="A107" s="7"/>
      <c r="B107" s="10"/>
      <c r="C107" s="10"/>
      <c r="D107" s="13"/>
      <c r="E107" s="10"/>
    </row>
    <row r="108" spans="1:5" x14ac:dyDescent="0.25">
      <c r="A108" s="7"/>
      <c r="B108" s="10"/>
      <c r="C108" s="10"/>
      <c r="D108" s="13"/>
      <c r="E108" s="10"/>
    </row>
    <row r="109" spans="1:5" x14ac:dyDescent="0.25">
      <c r="A109" s="7"/>
      <c r="B109" s="10"/>
      <c r="C109" s="10"/>
      <c r="D109" s="13"/>
      <c r="E109" s="10"/>
    </row>
    <row r="110" spans="1:5" x14ac:dyDescent="0.25">
      <c r="A110" s="7"/>
      <c r="B110" s="10"/>
      <c r="C110" s="10"/>
      <c r="D110" s="13"/>
      <c r="E110" s="10"/>
    </row>
    <row r="111" spans="1:5" x14ac:dyDescent="0.25">
      <c r="A111" s="7"/>
      <c r="B111" s="10"/>
      <c r="C111" s="10"/>
      <c r="D111" s="13"/>
      <c r="E111" s="10"/>
    </row>
    <row r="112" spans="1:5" x14ac:dyDescent="0.25">
      <c r="A112" s="7"/>
      <c r="B112" s="10"/>
      <c r="C112" s="10"/>
      <c r="D112" s="13"/>
      <c r="E112" s="10"/>
    </row>
    <row r="113" spans="1:5" x14ac:dyDescent="0.25">
      <c r="A113" s="7"/>
      <c r="B113" s="10"/>
      <c r="C113" s="10"/>
      <c r="D113" s="13"/>
      <c r="E113" s="10"/>
    </row>
    <row r="114" spans="1:5" x14ac:dyDescent="0.25">
      <c r="A114" s="7"/>
      <c r="B114" s="10"/>
      <c r="C114" s="10"/>
      <c r="D114" s="13"/>
      <c r="E114" s="10"/>
    </row>
    <row r="115" spans="1:5" x14ac:dyDescent="0.25">
      <c r="A115" s="7"/>
      <c r="B115" s="10"/>
      <c r="C115" s="10"/>
      <c r="D115" s="13"/>
      <c r="E115" s="10"/>
    </row>
    <row r="116" spans="1:5" x14ac:dyDescent="0.25">
      <c r="A116" s="7"/>
      <c r="B116" s="10"/>
      <c r="C116" s="10"/>
      <c r="D116" s="13"/>
      <c r="E116" s="10"/>
    </row>
    <row r="117" spans="1:5" x14ac:dyDescent="0.25">
      <c r="A117" s="7"/>
      <c r="B117" s="10"/>
      <c r="C117" s="10"/>
      <c r="D117" s="13"/>
      <c r="E117" s="10"/>
    </row>
    <row r="118" spans="1:5" x14ac:dyDescent="0.25">
      <c r="A118" s="7"/>
      <c r="B118" s="10"/>
      <c r="C118" s="10"/>
      <c r="D118" s="13"/>
      <c r="E118" s="10"/>
    </row>
    <row r="119" spans="1:5" x14ac:dyDescent="0.25">
      <c r="A119" s="7"/>
      <c r="B119" s="10"/>
      <c r="C119" s="10"/>
      <c r="D119" s="13"/>
      <c r="E119" s="10"/>
    </row>
    <row r="120" spans="1:5" x14ac:dyDescent="0.25">
      <c r="A120" s="7"/>
      <c r="B120" s="10"/>
      <c r="C120" s="10"/>
      <c r="D120" s="13"/>
      <c r="E120" s="10"/>
    </row>
    <row r="121" spans="1:5" x14ac:dyDescent="0.25">
      <c r="A121" s="7"/>
      <c r="B121" s="10"/>
      <c r="C121" s="10"/>
      <c r="D121" s="13"/>
      <c r="E121" s="10"/>
    </row>
    <row r="122" spans="1:5" x14ac:dyDescent="0.25">
      <c r="A122" s="7"/>
      <c r="B122" s="10"/>
      <c r="C122" s="10"/>
      <c r="D122" s="13"/>
      <c r="E122" s="10"/>
    </row>
    <row r="123" spans="1:5" x14ac:dyDescent="0.25">
      <c r="A123" s="7"/>
      <c r="B123" s="10"/>
      <c r="C123" s="10"/>
      <c r="D123" s="13"/>
      <c r="E123" s="10"/>
    </row>
    <row r="124" spans="1:5" x14ac:dyDescent="0.25">
      <c r="A124" s="7"/>
      <c r="B124" s="10"/>
      <c r="C124" s="10"/>
      <c r="D124" s="13"/>
      <c r="E124" s="10"/>
    </row>
    <row r="125" spans="1:5" x14ac:dyDescent="0.25">
      <c r="A125" s="7"/>
      <c r="B125" s="10"/>
      <c r="C125" s="10"/>
      <c r="D125" s="13"/>
      <c r="E125" s="10"/>
    </row>
    <row r="126" spans="1:5" x14ac:dyDescent="0.25">
      <c r="A126" s="7"/>
      <c r="B126" s="10"/>
      <c r="C126" s="10"/>
      <c r="D126" s="13"/>
      <c r="E126" s="10"/>
    </row>
    <row r="127" spans="1:5" x14ac:dyDescent="0.25">
      <c r="A127" s="7"/>
      <c r="B127" s="10"/>
      <c r="C127" s="10"/>
      <c r="D127" s="13"/>
      <c r="E127" s="10"/>
    </row>
    <row r="128" spans="1:5" x14ac:dyDescent="0.25">
      <c r="A128" s="7"/>
      <c r="B128" s="10"/>
      <c r="C128" s="10"/>
      <c r="D128" s="13"/>
      <c r="E128" s="10"/>
    </row>
    <row r="129" spans="1:5" x14ac:dyDescent="0.25">
      <c r="A129" s="7"/>
      <c r="B129" s="10"/>
      <c r="C129" s="10"/>
      <c r="D129" s="13"/>
      <c r="E129" s="10"/>
    </row>
    <row r="130" spans="1:5" x14ac:dyDescent="0.25">
      <c r="A130" s="7"/>
      <c r="B130" s="10"/>
      <c r="C130" s="10"/>
      <c r="D130" s="13"/>
      <c r="E130" s="10"/>
    </row>
    <row r="131" spans="1:5" x14ac:dyDescent="0.25">
      <c r="A131" s="7"/>
      <c r="B131" s="10"/>
      <c r="C131" s="10"/>
      <c r="D131" s="13"/>
      <c r="E131" s="10"/>
    </row>
    <row r="132" spans="1:5" x14ac:dyDescent="0.25">
      <c r="A132" s="7"/>
      <c r="B132" s="10"/>
      <c r="C132" s="10"/>
      <c r="D132" s="13"/>
      <c r="E132" s="10"/>
    </row>
    <row r="133" spans="1:5" x14ac:dyDescent="0.25">
      <c r="A133" s="7"/>
      <c r="B133" s="10"/>
      <c r="C133" s="10"/>
      <c r="D133" s="13"/>
      <c r="E133" s="10"/>
    </row>
    <row r="134" spans="1:5" x14ac:dyDescent="0.25">
      <c r="A134" s="7"/>
      <c r="B134" s="10"/>
      <c r="C134" s="10"/>
      <c r="D134" s="13"/>
      <c r="E134" s="10"/>
    </row>
    <row r="135" spans="1:5" x14ac:dyDescent="0.25">
      <c r="A135" s="7"/>
      <c r="B135" s="10"/>
      <c r="C135" s="10"/>
      <c r="D135" s="13"/>
      <c r="E135" s="10"/>
    </row>
    <row r="136" spans="1:5" x14ac:dyDescent="0.25">
      <c r="A136" s="7"/>
      <c r="B136" s="10"/>
      <c r="C136" s="10"/>
      <c r="D136" s="13"/>
      <c r="E136" s="10"/>
    </row>
    <row r="137" spans="1:5" x14ac:dyDescent="0.25">
      <c r="A137" s="7"/>
      <c r="B137" s="10"/>
      <c r="C137" s="10"/>
      <c r="D137" s="13"/>
      <c r="E137" s="10"/>
    </row>
    <row r="138" spans="1:5" x14ac:dyDescent="0.25">
      <c r="A138" s="7"/>
      <c r="B138" s="10"/>
      <c r="C138" s="10"/>
      <c r="D138" s="13"/>
      <c r="E138" s="10"/>
    </row>
    <row r="139" spans="1:5" x14ac:dyDescent="0.25">
      <c r="A139" s="7"/>
      <c r="B139" s="10"/>
      <c r="C139" s="10"/>
      <c r="D139" s="13"/>
      <c r="E139" s="10"/>
    </row>
    <row r="140" spans="1:5" x14ac:dyDescent="0.25">
      <c r="A140" s="7"/>
      <c r="B140" s="10"/>
      <c r="C140" s="10"/>
      <c r="D140" s="13"/>
      <c r="E140" s="10"/>
    </row>
    <row r="141" spans="1:5" x14ac:dyDescent="0.25">
      <c r="A141" s="7"/>
      <c r="B141" s="10"/>
      <c r="C141" s="10"/>
      <c r="D141" s="13"/>
      <c r="E141" s="10"/>
    </row>
    <row r="142" spans="1:5" x14ac:dyDescent="0.25">
      <c r="A142" s="7"/>
      <c r="B142" s="10"/>
      <c r="C142" s="10"/>
      <c r="D142" s="13"/>
      <c r="E142" s="10"/>
    </row>
    <row r="143" spans="1:5" x14ac:dyDescent="0.25">
      <c r="A143" s="7"/>
      <c r="B143" s="10"/>
      <c r="C143" s="10"/>
      <c r="D143" s="13"/>
      <c r="E143" s="10"/>
    </row>
    <row r="144" spans="1:5" x14ac:dyDescent="0.25">
      <c r="A144" s="7"/>
      <c r="B144" s="10"/>
      <c r="C144" s="10"/>
      <c r="D144" s="13"/>
      <c r="E144" s="10"/>
    </row>
    <row r="145" spans="1:5" x14ac:dyDescent="0.25">
      <c r="A145" s="7"/>
      <c r="B145" s="10"/>
      <c r="C145" s="10"/>
      <c r="D145" s="13"/>
      <c r="E145" s="10"/>
    </row>
    <row r="146" spans="1:5" x14ac:dyDescent="0.25">
      <c r="A146" s="7"/>
      <c r="B146" s="10"/>
      <c r="C146" s="10"/>
      <c r="D146" s="13"/>
      <c r="E146" s="10"/>
    </row>
    <row r="147" spans="1:5" x14ac:dyDescent="0.25">
      <c r="A147" s="7"/>
      <c r="B147" s="10"/>
      <c r="C147" s="10"/>
      <c r="D147" s="13"/>
      <c r="E147" s="10"/>
    </row>
    <row r="148" spans="1:5" x14ac:dyDescent="0.25">
      <c r="A148" s="7"/>
      <c r="B148" s="10"/>
      <c r="C148" s="10"/>
      <c r="D148" s="13"/>
      <c r="E148" s="10"/>
    </row>
    <row r="149" spans="1:5" x14ac:dyDescent="0.25">
      <c r="A149" s="7"/>
      <c r="B149" s="10"/>
      <c r="C149" s="10"/>
      <c r="D149" s="13"/>
      <c r="E149" s="10"/>
    </row>
    <row r="150" spans="1:5" x14ac:dyDescent="0.25">
      <c r="A150" s="7"/>
      <c r="B150" s="10"/>
      <c r="C150" s="10"/>
      <c r="D150" s="13"/>
      <c r="E150" s="10"/>
    </row>
    <row r="151" spans="1:5" x14ac:dyDescent="0.25">
      <c r="A151" s="7"/>
      <c r="B151" s="10"/>
      <c r="C151" s="10"/>
      <c r="D151" s="13"/>
      <c r="E151" s="10"/>
    </row>
    <row r="152" spans="1:5" x14ac:dyDescent="0.25">
      <c r="A152" s="7"/>
      <c r="B152" s="10"/>
      <c r="C152" s="10"/>
      <c r="D152" s="13"/>
      <c r="E152" s="10"/>
    </row>
    <row r="153" spans="1:5" x14ac:dyDescent="0.25">
      <c r="A153" s="7"/>
      <c r="B153" s="10"/>
      <c r="C153" s="10"/>
      <c r="D153" s="13"/>
      <c r="E153" s="10"/>
    </row>
    <row r="154" spans="1:5" x14ac:dyDescent="0.25">
      <c r="A154" s="7"/>
      <c r="B154" s="10"/>
      <c r="C154" s="10"/>
      <c r="D154" s="13"/>
      <c r="E154" s="10"/>
    </row>
    <row r="155" spans="1:5" x14ac:dyDescent="0.25">
      <c r="A155" s="7"/>
      <c r="B155" s="10"/>
      <c r="C155" s="10"/>
      <c r="D155" s="13"/>
      <c r="E155" s="10"/>
    </row>
    <row r="156" spans="1:5" x14ac:dyDescent="0.25">
      <c r="A156" s="7"/>
      <c r="B156" s="10"/>
      <c r="C156" s="10"/>
      <c r="D156" s="13"/>
      <c r="E156" s="10"/>
    </row>
    <row r="157" spans="1:5" x14ac:dyDescent="0.25">
      <c r="A157" s="7"/>
      <c r="B157" s="10"/>
      <c r="C157" s="10"/>
      <c r="D157" s="13"/>
      <c r="E157" s="10"/>
    </row>
    <row r="158" spans="1:5" x14ac:dyDescent="0.25">
      <c r="A158" s="7"/>
      <c r="B158" s="10"/>
      <c r="C158" s="10"/>
      <c r="D158" s="13"/>
      <c r="E158" s="10"/>
    </row>
    <row r="159" spans="1:5" x14ac:dyDescent="0.25">
      <c r="A159" s="7"/>
      <c r="B159" s="10"/>
      <c r="C159" s="10"/>
      <c r="D159" s="13"/>
      <c r="E159" s="10"/>
    </row>
    <row r="160" spans="1:5" x14ac:dyDescent="0.25">
      <c r="A160" s="7"/>
      <c r="B160" s="10"/>
      <c r="C160" s="10"/>
      <c r="D160" s="13"/>
      <c r="E160" s="10"/>
    </row>
    <row r="161" spans="1:5" x14ac:dyDescent="0.25">
      <c r="A161" s="7"/>
      <c r="B161" s="10"/>
      <c r="C161" s="10"/>
      <c r="D161" s="13"/>
      <c r="E161" s="10"/>
    </row>
    <row r="162" spans="1:5" x14ac:dyDescent="0.25">
      <c r="A162" s="7"/>
      <c r="B162" s="10"/>
      <c r="C162" s="10"/>
      <c r="D162" s="13"/>
      <c r="E162" s="10"/>
    </row>
    <row r="163" spans="1:5" x14ac:dyDescent="0.25">
      <c r="A163" s="7"/>
      <c r="B163" s="10"/>
      <c r="C163" s="10"/>
      <c r="D163" s="13"/>
      <c r="E163" s="10"/>
    </row>
    <row r="164" spans="1:5" x14ac:dyDescent="0.25">
      <c r="A164" s="7"/>
      <c r="B164" s="10"/>
      <c r="C164" s="10"/>
      <c r="D164" s="13"/>
      <c r="E164" s="10"/>
    </row>
    <row r="165" spans="1:5" x14ac:dyDescent="0.25">
      <c r="A165" s="7"/>
      <c r="B165" s="10"/>
      <c r="C165" s="10"/>
      <c r="D165" s="13"/>
      <c r="E165" s="10"/>
    </row>
    <row r="166" spans="1:5" x14ac:dyDescent="0.25">
      <c r="A166" s="7"/>
      <c r="B166" s="10"/>
      <c r="C166" s="10"/>
      <c r="D166" s="13"/>
      <c r="E166" s="10"/>
    </row>
    <row r="167" spans="1:5" x14ac:dyDescent="0.25">
      <c r="A167" s="7"/>
      <c r="B167" s="10"/>
      <c r="C167" s="10"/>
      <c r="D167" s="13"/>
      <c r="E167" s="10"/>
    </row>
    <row r="168" spans="1:5" x14ac:dyDescent="0.25">
      <c r="A168" s="7"/>
      <c r="B168" s="10"/>
      <c r="C168" s="10"/>
      <c r="D168" s="13"/>
      <c r="E168" s="10"/>
    </row>
    <row r="169" spans="1:5" x14ac:dyDescent="0.25">
      <c r="A169" s="7"/>
      <c r="B169" s="10"/>
      <c r="C169" s="10"/>
      <c r="D169" s="13"/>
      <c r="E169" s="10"/>
    </row>
    <row r="170" spans="1:5" x14ac:dyDescent="0.25">
      <c r="A170" s="7"/>
      <c r="B170" s="10"/>
      <c r="C170" s="10"/>
      <c r="D170" s="13"/>
      <c r="E170" s="10"/>
    </row>
    <row r="171" spans="1:5" x14ac:dyDescent="0.25">
      <c r="A171" s="7"/>
      <c r="B171" s="10"/>
      <c r="C171" s="10"/>
      <c r="D171" s="13"/>
      <c r="E171" s="10"/>
    </row>
    <row r="172" spans="1:5" x14ac:dyDescent="0.25">
      <c r="A172" s="7"/>
      <c r="B172" s="10"/>
      <c r="C172" s="10"/>
      <c r="D172" s="13"/>
      <c r="E172" s="10"/>
    </row>
    <row r="173" spans="1:5" x14ac:dyDescent="0.25">
      <c r="A173" s="7"/>
      <c r="B173" s="10"/>
      <c r="C173" s="10"/>
      <c r="D173" s="13"/>
      <c r="E173" s="10"/>
    </row>
    <row r="174" spans="1:5" x14ac:dyDescent="0.25">
      <c r="A174" s="7"/>
      <c r="B174" s="10"/>
      <c r="C174" s="10"/>
      <c r="D174" s="13"/>
      <c r="E174" s="10"/>
    </row>
    <row r="175" spans="1:5" x14ac:dyDescent="0.25">
      <c r="A175" s="7"/>
      <c r="B175" s="10"/>
      <c r="C175" s="10"/>
      <c r="D175" s="13"/>
      <c r="E175" s="10"/>
    </row>
    <row r="176" spans="1:5" x14ac:dyDescent="0.25">
      <c r="A176" s="7"/>
      <c r="B176" s="10"/>
      <c r="C176" s="10"/>
      <c r="D176" s="13"/>
      <c r="E176" s="10"/>
    </row>
    <row r="177" spans="1:5" x14ac:dyDescent="0.25">
      <c r="A177" s="7"/>
      <c r="B177" s="10"/>
      <c r="C177" s="10"/>
      <c r="D177" s="13"/>
      <c r="E177" s="10"/>
    </row>
    <row r="178" spans="1:5" x14ac:dyDescent="0.25">
      <c r="A178" s="7"/>
      <c r="B178" s="10"/>
      <c r="C178" s="10"/>
      <c r="D178" s="13"/>
      <c r="E178" s="10"/>
    </row>
    <row r="179" spans="1:5" x14ac:dyDescent="0.25">
      <c r="A179" s="7"/>
      <c r="B179" s="10"/>
      <c r="C179" s="10"/>
      <c r="D179" s="13"/>
      <c r="E179" s="10"/>
    </row>
    <row r="180" spans="1:5" x14ac:dyDescent="0.25">
      <c r="A180" s="7"/>
      <c r="B180" s="10"/>
      <c r="C180" s="10"/>
      <c r="D180" s="13"/>
      <c r="E180" s="10"/>
    </row>
    <row r="181" spans="1:5" x14ac:dyDescent="0.25">
      <c r="A181" s="7"/>
      <c r="B181" s="10"/>
      <c r="C181" s="10"/>
      <c r="D181" s="13"/>
      <c r="E181" s="10"/>
    </row>
    <row r="182" spans="1:5" x14ac:dyDescent="0.25">
      <c r="A182" s="7"/>
      <c r="B182" s="10"/>
      <c r="C182" s="10"/>
      <c r="D182" s="13"/>
      <c r="E182" s="10"/>
    </row>
    <row r="183" spans="1:5" x14ac:dyDescent="0.25">
      <c r="A183" s="7"/>
      <c r="B183" s="10"/>
      <c r="C183" s="10"/>
      <c r="D183" s="13"/>
      <c r="E183" s="10"/>
    </row>
    <row r="184" spans="1:5" x14ac:dyDescent="0.25">
      <c r="A184" s="7"/>
      <c r="B184" s="10"/>
      <c r="C184" s="10"/>
      <c r="D184" s="13"/>
      <c r="E184" s="10"/>
    </row>
    <row r="185" spans="1:5" x14ac:dyDescent="0.25">
      <c r="A185" s="7"/>
      <c r="B185" s="10"/>
      <c r="C185" s="10"/>
      <c r="D185" s="13"/>
      <c r="E185" s="10"/>
    </row>
    <row r="186" spans="1:5" x14ac:dyDescent="0.25">
      <c r="A186" s="7"/>
      <c r="B186" s="10"/>
      <c r="C186" s="10"/>
      <c r="D186" s="13"/>
      <c r="E186" s="10"/>
    </row>
    <row r="187" spans="1:5" x14ac:dyDescent="0.25">
      <c r="A187" s="7"/>
      <c r="B187" s="10"/>
      <c r="C187" s="10"/>
      <c r="D187" s="13"/>
      <c r="E187" s="10"/>
    </row>
    <row r="188" spans="1:5" x14ac:dyDescent="0.25">
      <c r="A188" s="7"/>
      <c r="B188" s="10"/>
      <c r="C188" s="10"/>
      <c r="D188" s="13"/>
      <c r="E188" s="10"/>
    </row>
    <row r="189" spans="1:5" x14ac:dyDescent="0.25">
      <c r="A189" s="7"/>
      <c r="B189" s="10"/>
      <c r="C189" s="10"/>
      <c r="D189" s="13"/>
      <c r="E189" s="10"/>
    </row>
    <row r="190" spans="1:5" x14ac:dyDescent="0.25">
      <c r="A190" s="7"/>
      <c r="B190" s="10"/>
      <c r="C190" s="10"/>
      <c r="D190" s="13"/>
      <c r="E190" s="10"/>
    </row>
    <row r="191" spans="1:5" x14ac:dyDescent="0.25">
      <c r="A191" s="7"/>
      <c r="B191" s="10"/>
      <c r="C191" s="10"/>
      <c r="D191" s="13"/>
      <c r="E191" s="10"/>
    </row>
    <row r="192" spans="1:5" x14ac:dyDescent="0.25">
      <c r="A192" s="7"/>
      <c r="B192" s="10"/>
      <c r="C192" s="10"/>
      <c r="D192" s="13"/>
      <c r="E192" s="10"/>
    </row>
    <row r="193" spans="1:5" x14ac:dyDescent="0.25">
      <c r="A193" s="7"/>
      <c r="B193" s="10"/>
      <c r="C193" s="10"/>
      <c r="D193" s="13"/>
      <c r="E193" s="10"/>
    </row>
    <row r="194" spans="1:5" x14ac:dyDescent="0.25">
      <c r="A194" s="7"/>
      <c r="B194" s="10"/>
      <c r="C194" s="10"/>
      <c r="D194" s="13"/>
      <c r="E194" s="10"/>
    </row>
    <row r="195" spans="1:5" x14ac:dyDescent="0.25">
      <c r="A195" s="7"/>
      <c r="B195" s="10"/>
      <c r="C195" s="10"/>
      <c r="D195" s="13"/>
      <c r="E195" s="10"/>
    </row>
    <row r="196" spans="1:5" x14ac:dyDescent="0.25">
      <c r="A196" s="7"/>
      <c r="B196" s="10"/>
      <c r="C196" s="10"/>
      <c r="D196" s="13"/>
      <c r="E196" s="10"/>
    </row>
    <row r="197" spans="1:5" x14ac:dyDescent="0.25">
      <c r="A197" s="7"/>
      <c r="B197" s="10"/>
      <c r="C197" s="10"/>
      <c r="D197" s="13"/>
      <c r="E197" s="10"/>
    </row>
    <row r="198" spans="1:5" x14ac:dyDescent="0.25">
      <c r="A198" s="7"/>
      <c r="B198" s="10"/>
      <c r="C198" s="10"/>
      <c r="D198" s="13"/>
      <c r="E198" s="10"/>
    </row>
    <row r="199" spans="1:5" x14ac:dyDescent="0.25">
      <c r="A199" s="7"/>
      <c r="B199" s="10"/>
      <c r="C199" s="10"/>
      <c r="D199" s="13"/>
      <c r="E199" s="10"/>
    </row>
    <row r="200" spans="1:5" x14ac:dyDescent="0.25">
      <c r="A200" s="7"/>
      <c r="B200" s="10"/>
      <c r="C200" s="10"/>
      <c r="D200" s="13"/>
      <c r="E200" s="10"/>
    </row>
    <row r="201" spans="1:5" x14ac:dyDescent="0.25">
      <c r="A201" s="7"/>
      <c r="B201" s="10"/>
      <c r="C201" s="10"/>
      <c r="D201" s="13"/>
      <c r="E201" s="10"/>
    </row>
    <row r="202" spans="1:5" x14ac:dyDescent="0.25">
      <c r="A202" s="7"/>
      <c r="B202" s="10"/>
      <c r="C202" s="10"/>
      <c r="D202" s="13"/>
      <c r="E202" s="10"/>
    </row>
    <row r="203" spans="1:5" x14ac:dyDescent="0.25">
      <c r="A203" s="7"/>
      <c r="B203" s="10"/>
      <c r="C203" s="10"/>
      <c r="D203" s="13"/>
      <c r="E203" s="10"/>
    </row>
    <row r="204" spans="1:5" x14ac:dyDescent="0.25">
      <c r="A204" s="7"/>
      <c r="B204" s="10"/>
      <c r="C204" s="10"/>
      <c r="D204" s="13"/>
      <c r="E204" s="10"/>
    </row>
    <row r="205" spans="1:5" x14ac:dyDescent="0.25">
      <c r="A205" s="7"/>
      <c r="B205" s="10"/>
      <c r="C205" s="10"/>
      <c r="D205" s="13"/>
      <c r="E205" s="10"/>
    </row>
    <row r="206" spans="1:5" x14ac:dyDescent="0.25">
      <c r="A206" s="7"/>
      <c r="B206" s="10"/>
      <c r="C206" s="10"/>
      <c r="D206" s="13"/>
      <c r="E206" s="10"/>
    </row>
    <row r="207" spans="1:5" x14ac:dyDescent="0.25">
      <c r="A207" s="7"/>
      <c r="B207" s="10"/>
      <c r="C207" s="10"/>
      <c r="D207" s="13"/>
      <c r="E207" s="10"/>
    </row>
    <row r="208" spans="1:5" x14ac:dyDescent="0.25">
      <c r="A208" s="7"/>
      <c r="B208" s="10"/>
      <c r="C208" s="10"/>
      <c r="D208" s="13"/>
      <c r="E208" s="10"/>
    </row>
    <row r="209" spans="1:5" x14ac:dyDescent="0.25">
      <c r="A209" s="7"/>
      <c r="B209" s="10"/>
      <c r="C209" s="10"/>
      <c r="D209" s="13"/>
      <c r="E209" s="10"/>
    </row>
    <row r="210" spans="1:5" x14ac:dyDescent="0.25">
      <c r="A210" s="7"/>
      <c r="B210" s="10"/>
      <c r="C210" s="10"/>
      <c r="D210" s="13"/>
      <c r="E210" s="10"/>
    </row>
    <row r="211" spans="1:5" x14ac:dyDescent="0.25">
      <c r="A211" s="7"/>
      <c r="B211" s="10"/>
      <c r="C211" s="10"/>
      <c r="D211" s="13"/>
      <c r="E211" s="10"/>
    </row>
    <row r="212" spans="1:5" x14ac:dyDescent="0.25">
      <c r="A212" s="7"/>
      <c r="B212" s="10"/>
      <c r="C212" s="10"/>
      <c r="D212" s="13"/>
      <c r="E212" s="10"/>
    </row>
    <row r="213" spans="1:5" x14ac:dyDescent="0.25">
      <c r="A213" s="7"/>
      <c r="B213" s="10"/>
      <c r="C213" s="10"/>
      <c r="D213" s="13"/>
      <c r="E213" s="10"/>
    </row>
    <row r="214" spans="1:5" x14ac:dyDescent="0.25">
      <c r="A214" s="7"/>
      <c r="B214" s="10"/>
      <c r="C214" s="10"/>
      <c r="D214" s="13"/>
      <c r="E214" s="10"/>
    </row>
    <row r="215" spans="1:5" x14ac:dyDescent="0.25">
      <c r="A215" s="7"/>
      <c r="B215" s="10"/>
      <c r="C215" s="10"/>
      <c r="D215" s="13"/>
      <c r="E215" s="10"/>
    </row>
    <row r="216" spans="1:5" x14ac:dyDescent="0.25">
      <c r="A216" s="7"/>
      <c r="B216" s="10"/>
      <c r="C216" s="10"/>
      <c r="D216" s="13"/>
      <c r="E216" s="10"/>
    </row>
    <row r="217" spans="1:5" x14ac:dyDescent="0.25">
      <c r="A217" s="7"/>
      <c r="B217" s="10"/>
      <c r="C217" s="10"/>
      <c r="D217" s="13"/>
      <c r="E217" s="10"/>
    </row>
    <row r="218" spans="1:5" x14ac:dyDescent="0.25">
      <c r="A218" s="7"/>
      <c r="B218" s="10"/>
      <c r="C218" s="10"/>
      <c r="D218" s="13"/>
      <c r="E218" s="10"/>
    </row>
    <row r="219" spans="1:5" x14ac:dyDescent="0.25">
      <c r="A219" s="7"/>
      <c r="B219" s="10"/>
      <c r="C219" s="10"/>
      <c r="D219" s="13"/>
      <c r="E219" s="10"/>
    </row>
    <row r="220" spans="1:5" x14ac:dyDescent="0.25">
      <c r="A220" s="7"/>
      <c r="B220" s="10"/>
      <c r="C220" s="10"/>
      <c r="D220" s="13"/>
      <c r="E220" s="10"/>
    </row>
    <row r="221" spans="1:5" x14ac:dyDescent="0.25">
      <c r="A221" s="7"/>
      <c r="B221" s="10"/>
      <c r="C221" s="10"/>
      <c r="D221" s="13"/>
      <c r="E221" s="10"/>
    </row>
    <row r="222" spans="1:5" x14ac:dyDescent="0.25">
      <c r="A222" s="7"/>
      <c r="B222" s="10"/>
      <c r="C222" s="10"/>
      <c r="D222" s="13"/>
      <c r="E222" s="10"/>
    </row>
    <row r="223" spans="1:5" x14ac:dyDescent="0.25">
      <c r="A223" s="7"/>
      <c r="B223" s="10"/>
      <c r="C223" s="10"/>
      <c r="D223" s="13"/>
      <c r="E223" s="10"/>
    </row>
    <row r="224" spans="1:5" x14ac:dyDescent="0.25">
      <c r="A224" s="7"/>
      <c r="B224" s="10"/>
      <c r="C224" s="10"/>
      <c r="D224" s="13"/>
      <c r="E224" s="10"/>
    </row>
    <row r="225" spans="1:5" x14ac:dyDescent="0.25">
      <c r="A225" s="7"/>
      <c r="B225" s="10"/>
      <c r="C225" s="10"/>
      <c r="D225" s="13"/>
      <c r="E225" s="10"/>
    </row>
    <row r="226" spans="1:5" x14ac:dyDescent="0.25">
      <c r="A226" s="7"/>
      <c r="B226" s="10"/>
      <c r="C226" s="10"/>
      <c r="D226" s="13"/>
      <c r="E226" s="10"/>
    </row>
    <row r="227" spans="1:5" x14ac:dyDescent="0.25">
      <c r="A227" s="7"/>
      <c r="B227" s="10"/>
      <c r="C227" s="10"/>
      <c r="D227" s="13"/>
      <c r="E227" s="10"/>
    </row>
    <row r="228" spans="1:5" x14ac:dyDescent="0.25">
      <c r="A228" s="7"/>
      <c r="B228" s="10"/>
      <c r="C228" s="10"/>
      <c r="D228" s="13"/>
      <c r="E228" s="10"/>
    </row>
    <row r="229" spans="1:5" x14ac:dyDescent="0.25">
      <c r="A229" s="7"/>
      <c r="B229" s="10"/>
      <c r="C229" s="10"/>
      <c r="D229" s="13"/>
      <c r="E229" s="10"/>
    </row>
    <row r="230" spans="1:5" x14ac:dyDescent="0.25">
      <c r="A230" s="7"/>
      <c r="B230" s="10"/>
      <c r="C230" s="10"/>
      <c r="D230" s="13"/>
      <c r="E230" s="10"/>
    </row>
    <row r="231" spans="1:5" x14ac:dyDescent="0.25">
      <c r="A231" s="7"/>
      <c r="B231" s="10"/>
      <c r="C231" s="10"/>
      <c r="D231" s="13"/>
      <c r="E231" s="10"/>
    </row>
    <row r="232" spans="1:5" x14ac:dyDescent="0.25">
      <c r="A232" s="7"/>
      <c r="B232" s="10"/>
      <c r="C232" s="10"/>
      <c r="D232" s="13"/>
      <c r="E232" s="10"/>
    </row>
    <row r="233" spans="1:5" x14ac:dyDescent="0.25">
      <c r="A233" s="7"/>
      <c r="B233" s="10"/>
      <c r="C233" s="10"/>
      <c r="D233" s="13"/>
      <c r="E233" s="10"/>
    </row>
    <row r="234" spans="1:5" x14ac:dyDescent="0.25">
      <c r="A234" s="7"/>
      <c r="B234" s="10"/>
      <c r="C234" s="10"/>
      <c r="D234" s="13"/>
      <c r="E234" s="10"/>
    </row>
    <row r="235" spans="1:5" x14ac:dyDescent="0.25">
      <c r="A235" s="7"/>
      <c r="B235" s="10"/>
      <c r="C235" s="10"/>
      <c r="D235" s="13"/>
      <c r="E235" s="10"/>
    </row>
    <row r="236" spans="1:5" x14ac:dyDescent="0.25">
      <c r="A236" s="7"/>
      <c r="B236" s="10"/>
      <c r="C236" s="10"/>
      <c r="D236" s="13"/>
      <c r="E236" s="10"/>
    </row>
    <row r="237" spans="1:5" x14ac:dyDescent="0.25">
      <c r="A237" s="7"/>
      <c r="B237" s="10"/>
      <c r="C237" s="10"/>
      <c r="D237" s="13"/>
      <c r="E237" s="10"/>
    </row>
    <row r="238" spans="1:5" x14ac:dyDescent="0.25">
      <c r="A238" s="7"/>
      <c r="B238" s="10"/>
      <c r="C238" s="10"/>
      <c r="D238" s="13"/>
      <c r="E238" s="10"/>
    </row>
    <row r="239" spans="1:5" x14ac:dyDescent="0.25">
      <c r="A239" s="7"/>
      <c r="B239" s="10"/>
      <c r="C239" s="10"/>
      <c r="D239" s="13"/>
      <c r="E239" s="10"/>
    </row>
    <row r="240" spans="1:5" x14ac:dyDescent="0.25">
      <c r="A240" s="7"/>
      <c r="B240" s="10"/>
      <c r="C240" s="10"/>
      <c r="D240" s="13"/>
      <c r="E240" s="10"/>
    </row>
    <row r="241" spans="1:5" x14ac:dyDescent="0.25">
      <c r="A241" s="7"/>
      <c r="B241" s="10"/>
      <c r="C241" s="10"/>
      <c r="D241" s="13"/>
      <c r="E241" s="10"/>
    </row>
    <row r="242" spans="1:5" x14ac:dyDescent="0.25">
      <c r="A242" s="7"/>
      <c r="B242" s="10"/>
      <c r="C242" s="10"/>
      <c r="D242" s="13"/>
      <c r="E242" s="10"/>
    </row>
    <row r="243" spans="1:5" x14ac:dyDescent="0.25">
      <c r="A243" s="7"/>
      <c r="B243" s="10"/>
      <c r="C243" s="10"/>
      <c r="D243" s="13"/>
      <c r="E243" s="10"/>
    </row>
    <row r="244" spans="1:5" x14ac:dyDescent="0.25">
      <c r="A244" s="7"/>
      <c r="B244" s="10"/>
      <c r="C244" s="10"/>
      <c r="D244" s="13"/>
      <c r="E244" s="10"/>
    </row>
    <row r="245" spans="1:5" x14ac:dyDescent="0.25">
      <c r="A245" s="7"/>
      <c r="B245" s="10"/>
      <c r="C245" s="10"/>
      <c r="D245" s="13"/>
      <c r="E245" s="10"/>
    </row>
    <row r="246" spans="1:5" x14ac:dyDescent="0.25">
      <c r="A246" s="7"/>
      <c r="B246" s="10"/>
      <c r="C246" s="10"/>
      <c r="D246" s="13"/>
      <c r="E246" s="10"/>
    </row>
    <row r="247" spans="1:5" x14ac:dyDescent="0.25">
      <c r="A247" s="7"/>
      <c r="B247" s="10"/>
      <c r="C247" s="10"/>
      <c r="D247" s="13"/>
      <c r="E247" s="10"/>
    </row>
    <row r="248" spans="1:5" x14ac:dyDescent="0.25">
      <c r="A248" s="7"/>
      <c r="B248" s="10"/>
      <c r="C248" s="10"/>
      <c r="D248" s="13"/>
      <c r="E248" s="10"/>
    </row>
    <row r="249" spans="1:5" x14ac:dyDescent="0.25">
      <c r="A249" s="7"/>
      <c r="B249" s="10"/>
      <c r="C249" s="10"/>
      <c r="D249" s="13"/>
      <c r="E249" s="10"/>
    </row>
    <row r="250" spans="1:5" x14ac:dyDescent="0.25">
      <c r="A250" s="7"/>
      <c r="B250" s="10"/>
      <c r="C250" s="10"/>
      <c r="D250" s="13"/>
      <c r="E250" s="10"/>
    </row>
    <row r="251" spans="1:5" x14ac:dyDescent="0.25">
      <c r="A251" s="7"/>
      <c r="B251" s="10"/>
      <c r="C251" s="10"/>
      <c r="D251" s="13"/>
      <c r="E251" s="10"/>
    </row>
    <row r="252" spans="1:5" x14ac:dyDescent="0.25">
      <c r="A252" s="7"/>
      <c r="B252" s="10"/>
      <c r="C252" s="10"/>
      <c r="D252" s="13"/>
      <c r="E252" s="10"/>
    </row>
    <row r="253" spans="1:5" x14ac:dyDescent="0.25">
      <c r="A253" s="7"/>
      <c r="B253" s="10"/>
      <c r="C253" s="10"/>
      <c r="D253" s="13"/>
      <c r="E253" s="10"/>
    </row>
    <row r="254" spans="1:5" x14ac:dyDescent="0.25">
      <c r="A254" s="7"/>
      <c r="B254" s="10"/>
      <c r="C254" s="10"/>
      <c r="D254" s="13"/>
      <c r="E254" s="10"/>
    </row>
    <row r="255" spans="1:5" x14ac:dyDescent="0.25">
      <c r="A255" s="7"/>
      <c r="B255" s="10"/>
      <c r="C255" s="10"/>
      <c r="D255" s="13"/>
      <c r="E255" s="10"/>
    </row>
    <row r="256" spans="1:5" x14ac:dyDescent="0.25">
      <c r="A256" s="7"/>
      <c r="B256" s="10"/>
      <c r="C256" s="10"/>
      <c r="D256" s="13"/>
      <c r="E256" s="10"/>
    </row>
    <row r="257" spans="1:5" x14ac:dyDescent="0.25">
      <c r="A257" s="7"/>
      <c r="B257" s="10"/>
      <c r="C257" s="10"/>
      <c r="D257" s="13"/>
      <c r="E257" s="10"/>
    </row>
    <row r="258" spans="1:5" x14ac:dyDescent="0.25">
      <c r="A258" s="7"/>
      <c r="B258" s="10"/>
      <c r="C258" s="10"/>
      <c r="D258" s="13"/>
      <c r="E258" s="10"/>
    </row>
    <row r="259" spans="1:5" x14ac:dyDescent="0.25">
      <c r="A259" s="7"/>
      <c r="B259" s="10"/>
      <c r="C259" s="10"/>
      <c r="D259" s="13"/>
      <c r="E259" s="10"/>
    </row>
    <row r="260" spans="1:5" x14ac:dyDescent="0.25">
      <c r="A260" s="7"/>
      <c r="B260" s="10"/>
      <c r="C260" s="10"/>
      <c r="D260" s="13"/>
      <c r="E260" s="10"/>
    </row>
    <row r="261" spans="1:5" x14ac:dyDescent="0.25">
      <c r="A261" s="7"/>
      <c r="B261" s="10"/>
      <c r="C261" s="10"/>
      <c r="D261" s="13"/>
      <c r="E261" s="10"/>
    </row>
    <row r="262" spans="1:5" x14ac:dyDescent="0.25">
      <c r="A262" s="7"/>
      <c r="B262" s="10"/>
      <c r="C262" s="10"/>
      <c r="D262" s="13"/>
      <c r="E262" s="10"/>
    </row>
    <row r="263" spans="1:5" x14ac:dyDescent="0.25">
      <c r="A263" s="7"/>
      <c r="B263" s="10"/>
      <c r="C263" s="10"/>
      <c r="D263" s="13"/>
      <c r="E263" s="10"/>
    </row>
    <row r="264" spans="1:5" x14ac:dyDescent="0.25">
      <c r="A264" s="7"/>
      <c r="B264" s="10"/>
      <c r="C264" s="10"/>
      <c r="D264" s="13"/>
      <c r="E264" s="10"/>
    </row>
    <row r="265" spans="1:5" x14ac:dyDescent="0.25">
      <c r="A265" s="7"/>
      <c r="B265" s="10"/>
      <c r="C265" s="10"/>
      <c r="D265" s="13"/>
      <c r="E265" s="10"/>
    </row>
    <row r="266" spans="1:5" x14ac:dyDescent="0.25">
      <c r="A266" s="7"/>
      <c r="B266" s="10"/>
      <c r="C266" s="10"/>
      <c r="D266" s="13"/>
      <c r="E266" s="10"/>
    </row>
    <row r="267" spans="1:5" x14ac:dyDescent="0.25">
      <c r="A267" s="7"/>
      <c r="B267" s="10"/>
      <c r="C267" s="10"/>
      <c r="D267" s="13"/>
      <c r="E267" s="10"/>
    </row>
    <row r="268" spans="1:5" x14ac:dyDescent="0.25">
      <c r="A268" s="7"/>
      <c r="B268" s="10"/>
      <c r="C268" s="10"/>
      <c r="D268" s="13"/>
      <c r="E268" s="10"/>
    </row>
    <row r="269" spans="1:5" x14ac:dyDescent="0.25">
      <c r="A269" s="7"/>
      <c r="B269" s="10"/>
      <c r="C269" s="10"/>
      <c r="D269" s="13"/>
      <c r="E269" s="10"/>
    </row>
    <row r="270" spans="1:5" x14ac:dyDescent="0.25">
      <c r="A270" s="7"/>
      <c r="B270" s="10"/>
      <c r="C270" s="10"/>
      <c r="D270" s="13"/>
      <c r="E270" s="10"/>
    </row>
    <row r="271" spans="1:5" x14ac:dyDescent="0.25">
      <c r="A271" s="7"/>
      <c r="B271" s="10"/>
      <c r="C271" s="10"/>
      <c r="D271" s="13"/>
      <c r="E271" s="10"/>
    </row>
    <row r="272" spans="1:5" x14ac:dyDescent="0.25">
      <c r="A272" s="7"/>
      <c r="B272" s="10"/>
      <c r="C272" s="10"/>
      <c r="D272" s="13"/>
      <c r="E272" s="10"/>
    </row>
    <row r="273" spans="1:5" x14ac:dyDescent="0.25">
      <c r="A273" s="7"/>
      <c r="B273" s="10"/>
      <c r="C273" s="10"/>
      <c r="D273" s="13"/>
      <c r="E273" s="10"/>
    </row>
    <row r="274" spans="1:5" x14ac:dyDescent="0.25">
      <c r="A274" s="7"/>
      <c r="B274" s="10"/>
      <c r="C274" s="10"/>
      <c r="D274" s="13"/>
      <c r="E274" s="10"/>
    </row>
    <row r="275" spans="1:5" x14ac:dyDescent="0.25">
      <c r="A275" s="7"/>
      <c r="B275" s="10"/>
      <c r="C275" s="10"/>
      <c r="D275" s="13"/>
      <c r="E275" s="10"/>
    </row>
    <row r="276" spans="1:5" x14ac:dyDescent="0.25">
      <c r="A276" s="7"/>
      <c r="B276" s="10"/>
      <c r="C276" s="10"/>
      <c r="D276" s="13"/>
      <c r="E276" s="10"/>
    </row>
    <row r="277" spans="1:5" x14ac:dyDescent="0.25">
      <c r="A277" s="7"/>
      <c r="B277" s="10"/>
      <c r="C277" s="10"/>
      <c r="D277" s="13"/>
      <c r="E277" s="10"/>
    </row>
    <row r="278" spans="1:5" x14ac:dyDescent="0.25">
      <c r="A278" s="7"/>
      <c r="B278" s="10"/>
      <c r="C278" s="10"/>
      <c r="D278" s="13"/>
      <c r="E278" s="10"/>
    </row>
    <row r="279" spans="1:5" x14ac:dyDescent="0.25">
      <c r="A279" s="7"/>
      <c r="B279" s="10"/>
      <c r="C279" s="10"/>
      <c r="D279" s="13"/>
      <c r="E279" s="10"/>
    </row>
    <row r="280" spans="1:5" x14ac:dyDescent="0.25">
      <c r="A280" s="7"/>
      <c r="B280" s="10"/>
      <c r="C280" s="10"/>
      <c r="D280" s="13"/>
      <c r="E280" s="10"/>
    </row>
    <row r="281" spans="1:5" x14ac:dyDescent="0.25">
      <c r="A281" s="7"/>
      <c r="B281" s="10"/>
      <c r="C281" s="10"/>
      <c r="D281" s="13"/>
      <c r="E281" s="10"/>
    </row>
    <row r="282" spans="1:5" x14ac:dyDescent="0.25">
      <c r="A282" s="7"/>
      <c r="B282" s="10"/>
      <c r="C282" s="10"/>
      <c r="D282" s="13"/>
      <c r="E282" s="10"/>
    </row>
    <row r="283" spans="1:5" x14ac:dyDescent="0.25">
      <c r="A283" s="7"/>
      <c r="B283" s="10"/>
      <c r="C283" s="10"/>
      <c r="D283" s="13"/>
      <c r="E283" s="10"/>
    </row>
    <row r="284" spans="1:5" x14ac:dyDescent="0.25">
      <c r="A284" s="7"/>
      <c r="B284" s="10"/>
      <c r="C284" s="10"/>
      <c r="D284" s="13"/>
      <c r="E284" s="10"/>
    </row>
    <row r="285" spans="1:5" x14ac:dyDescent="0.25">
      <c r="A285" s="7"/>
      <c r="B285" s="10"/>
      <c r="C285" s="10"/>
      <c r="D285" s="13"/>
      <c r="E285" s="10"/>
    </row>
    <row r="286" spans="1:5" x14ac:dyDescent="0.25">
      <c r="A286" s="7"/>
      <c r="B286" s="10"/>
      <c r="C286" s="10"/>
      <c r="D286" s="13"/>
      <c r="E286" s="10"/>
    </row>
    <row r="287" spans="1:5" x14ac:dyDescent="0.25">
      <c r="A287" s="7"/>
      <c r="B287" s="10"/>
      <c r="C287" s="10"/>
      <c r="D287" s="13"/>
      <c r="E287" s="10"/>
    </row>
    <row r="288" spans="1:5" x14ac:dyDescent="0.25">
      <c r="A288" s="7"/>
      <c r="B288" s="10"/>
      <c r="C288" s="10"/>
      <c r="D288" s="13"/>
      <c r="E288" s="10"/>
    </row>
    <row r="289" spans="1:5" x14ac:dyDescent="0.25">
      <c r="A289" s="7"/>
      <c r="B289" s="10"/>
      <c r="C289" s="10"/>
      <c r="D289" s="13"/>
      <c r="E289" s="10"/>
    </row>
    <row r="290" spans="1:5" x14ac:dyDescent="0.25">
      <c r="A290" s="7"/>
      <c r="B290" s="10"/>
      <c r="C290" s="10"/>
      <c r="D290" s="13"/>
      <c r="E290" s="10"/>
    </row>
    <row r="291" spans="1:5" x14ac:dyDescent="0.25">
      <c r="A291" s="7"/>
      <c r="B291" s="10"/>
      <c r="C291" s="10"/>
      <c r="D291" s="13"/>
      <c r="E291" s="10"/>
    </row>
    <row r="292" spans="1:5" x14ac:dyDescent="0.25">
      <c r="A292" s="7"/>
      <c r="B292" s="10"/>
      <c r="C292" s="10"/>
      <c r="D292" s="13"/>
      <c r="E292" s="10"/>
    </row>
    <row r="293" spans="1:5" x14ac:dyDescent="0.25">
      <c r="A293" s="7"/>
      <c r="B293" s="10"/>
      <c r="C293" s="10"/>
      <c r="D293" s="13"/>
      <c r="E293" s="10"/>
    </row>
    <row r="294" spans="1:5" x14ac:dyDescent="0.25">
      <c r="A294" s="7"/>
      <c r="B294" s="10"/>
      <c r="C294" s="10"/>
      <c r="D294" s="13"/>
      <c r="E294" s="10"/>
    </row>
    <row r="295" spans="1:5" x14ac:dyDescent="0.25">
      <c r="A295" s="7"/>
      <c r="B295" s="10"/>
      <c r="C295" s="10"/>
      <c r="D295" s="13"/>
      <c r="E295" s="10"/>
    </row>
    <row r="296" spans="1:5" x14ac:dyDescent="0.25">
      <c r="A296" s="7"/>
      <c r="B296" s="10"/>
      <c r="C296" s="10"/>
      <c r="D296" s="13"/>
      <c r="E296" s="10"/>
    </row>
    <row r="297" spans="1:5" x14ac:dyDescent="0.25">
      <c r="A297" s="7"/>
      <c r="B297" s="10"/>
      <c r="C297" s="10"/>
      <c r="D297" s="13"/>
      <c r="E297" s="10"/>
    </row>
    <row r="298" spans="1:5" x14ac:dyDescent="0.25">
      <c r="A298" s="7"/>
      <c r="B298" s="10"/>
      <c r="C298" s="10"/>
      <c r="D298" s="13"/>
      <c r="E298" s="10"/>
    </row>
    <row r="299" spans="1:5" x14ac:dyDescent="0.25">
      <c r="A299" s="7"/>
      <c r="B299" s="10"/>
      <c r="C299" s="10"/>
      <c r="D299" s="13"/>
      <c r="E299" s="10"/>
    </row>
    <row r="300" spans="1:5" x14ac:dyDescent="0.25">
      <c r="A300" s="7"/>
      <c r="B300" s="10"/>
      <c r="C300" s="10"/>
      <c r="D300" s="13"/>
      <c r="E300" s="10"/>
    </row>
    <row r="301" spans="1:5" x14ac:dyDescent="0.25">
      <c r="A301" s="7"/>
      <c r="B301" s="10"/>
      <c r="C301" s="10"/>
      <c r="D301" s="13"/>
      <c r="E301" s="10"/>
    </row>
    <row r="302" spans="1:5" x14ac:dyDescent="0.25">
      <c r="A302" s="7"/>
      <c r="B302" s="10"/>
      <c r="C302" s="10"/>
      <c r="D302" s="13"/>
      <c r="E302" s="10"/>
    </row>
    <row r="303" spans="1:5" x14ac:dyDescent="0.25">
      <c r="A303" s="7"/>
      <c r="B303" s="10"/>
      <c r="C303" s="10"/>
      <c r="D303" s="13"/>
      <c r="E303" s="10"/>
    </row>
    <row r="304" spans="1:5" x14ac:dyDescent="0.25">
      <c r="A304" s="7"/>
      <c r="B304" s="10"/>
      <c r="C304" s="10"/>
      <c r="D304" s="13"/>
      <c r="E304" s="10"/>
    </row>
    <row r="305" spans="1:5" x14ac:dyDescent="0.25">
      <c r="A305" s="7"/>
      <c r="B305" s="10"/>
      <c r="C305" s="10"/>
      <c r="D305" s="13"/>
      <c r="E305" s="10"/>
    </row>
    <row r="306" spans="1:5" x14ac:dyDescent="0.25">
      <c r="A306" s="7"/>
      <c r="B306" s="10"/>
      <c r="C306" s="10"/>
      <c r="D306" s="13"/>
      <c r="E306" s="10"/>
    </row>
    <row r="307" spans="1:5" x14ac:dyDescent="0.25">
      <c r="A307" s="7"/>
      <c r="B307" s="10"/>
      <c r="C307" s="10"/>
      <c r="D307" s="13"/>
      <c r="E307" s="10"/>
    </row>
    <row r="308" spans="1:5" x14ac:dyDescent="0.25">
      <c r="A308" s="7"/>
      <c r="B308" s="10"/>
      <c r="C308" s="10"/>
      <c r="D308" s="13"/>
      <c r="E308" s="10"/>
    </row>
    <row r="309" spans="1:5" x14ac:dyDescent="0.25">
      <c r="A309" s="7"/>
      <c r="B309" s="10"/>
      <c r="C309" s="10"/>
      <c r="D309" s="13"/>
      <c r="E309" s="10"/>
    </row>
    <row r="310" spans="1:5" x14ac:dyDescent="0.25">
      <c r="A310" s="7"/>
      <c r="B310" s="10"/>
      <c r="C310" s="10"/>
      <c r="D310" s="13"/>
      <c r="E310" s="10"/>
    </row>
    <row r="311" spans="1:5" x14ac:dyDescent="0.25">
      <c r="A311" s="7"/>
      <c r="B311" s="10"/>
      <c r="C311" s="10"/>
      <c r="D311" s="13"/>
      <c r="E311" s="10"/>
    </row>
    <row r="312" spans="1:5" x14ac:dyDescent="0.25">
      <c r="A312" s="7"/>
      <c r="B312" s="10"/>
      <c r="C312" s="10"/>
      <c r="D312" s="13"/>
      <c r="E312" s="10"/>
    </row>
    <row r="313" spans="1:5" x14ac:dyDescent="0.25">
      <c r="A313" s="7"/>
      <c r="B313" s="10"/>
      <c r="C313" s="10"/>
      <c r="D313" s="13"/>
      <c r="E313" s="10"/>
    </row>
    <row r="314" spans="1:5" x14ac:dyDescent="0.25">
      <c r="A314" s="7"/>
      <c r="B314" s="10"/>
      <c r="C314" s="10"/>
      <c r="D314" s="13"/>
      <c r="E314" s="10"/>
    </row>
    <row r="315" spans="1:5" x14ac:dyDescent="0.25">
      <c r="A315" s="7"/>
      <c r="B315" s="10"/>
      <c r="C315" s="10"/>
      <c r="D315" s="13"/>
      <c r="E315" s="10"/>
    </row>
    <row r="316" spans="1:5" x14ac:dyDescent="0.25">
      <c r="A316" s="7"/>
      <c r="B316" s="10"/>
      <c r="C316" s="10"/>
      <c r="D316" s="13"/>
      <c r="E316" s="10"/>
    </row>
    <row r="317" spans="1:5" x14ac:dyDescent="0.25">
      <c r="A317" s="7"/>
      <c r="B317" s="10"/>
      <c r="C317" s="10"/>
      <c r="D317" s="13"/>
      <c r="E317" s="10"/>
    </row>
    <row r="318" spans="1:5" x14ac:dyDescent="0.25">
      <c r="A318" s="7"/>
      <c r="B318" s="10"/>
      <c r="C318" s="10"/>
      <c r="D318" s="13"/>
      <c r="E318" s="10"/>
    </row>
    <row r="319" spans="1:5" x14ac:dyDescent="0.25">
      <c r="A319" s="7"/>
      <c r="B319" s="10"/>
      <c r="C319" s="10"/>
      <c r="D319" s="13"/>
      <c r="E319" s="10"/>
    </row>
    <row r="320" spans="1:5" x14ac:dyDescent="0.25">
      <c r="A320" s="7"/>
      <c r="B320" s="10"/>
      <c r="C320" s="10"/>
      <c r="D320" s="13"/>
      <c r="E320" s="10"/>
    </row>
    <row r="321" spans="1:5" x14ac:dyDescent="0.25">
      <c r="A321" s="7"/>
      <c r="B321" s="10"/>
      <c r="C321" s="10"/>
      <c r="D321" s="13"/>
      <c r="E321" s="10"/>
    </row>
    <row r="322" spans="1:5" x14ac:dyDescent="0.25">
      <c r="A322" s="7"/>
      <c r="B322" s="10"/>
      <c r="C322" s="10"/>
      <c r="D322" s="13"/>
      <c r="E322" s="10"/>
    </row>
    <row r="323" spans="1:5" x14ac:dyDescent="0.25">
      <c r="A323" s="7"/>
      <c r="B323" s="10"/>
      <c r="C323" s="10"/>
      <c r="D323" s="13"/>
      <c r="E323" s="10"/>
    </row>
    <row r="324" spans="1:5" x14ac:dyDescent="0.25">
      <c r="A324" s="7"/>
      <c r="B324" s="10"/>
      <c r="C324" s="10"/>
      <c r="D324" s="13"/>
      <c r="E324" s="10"/>
    </row>
    <row r="325" spans="1:5" x14ac:dyDescent="0.25">
      <c r="A325" s="7"/>
      <c r="B325" s="10"/>
      <c r="C325" s="10"/>
      <c r="D325" s="13"/>
      <c r="E325" s="10"/>
    </row>
    <row r="326" spans="1:5" x14ac:dyDescent="0.25">
      <c r="A326" s="7"/>
      <c r="B326" s="10"/>
      <c r="C326" s="10"/>
      <c r="D326" s="13"/>
      <c r="E326" s="10"/>
    </row>
    <row r="327" spans="1:5" x14ac:dyDescent="0.25">
      <c r="A327" s="7"/>
      <c r="B327" s="10"/>
      <c r="C327" s="10"/>
      <c r="D327" s="13"/>
      <c r="E327" s="10"/>
    </row>
    <row r="328" spans="1:5" x14ac:dyDescent="0.25">
      <c r="A328" s="7"/>
      <c r="B328" s="10"/>
      <c r="C328" s="10"/>
      <c r="D328" s="13"/>
      <c r="E328" s="10"/>
    </row>
    <row r="329" spans="1:5" x14ac:dyDescent="0.25">
      <c r="A329" s="7"/>
      <c r="B329" s="10"/>
      <c r="C329" s="10"/>
      <c r="D329" s="13"/>
      <c r="E329" s="10"/>
    </row>
    <row r="330" spans="1:5" x14ac:dyDescent="0.25">
      <c r="A330" s="7"/>
      <c r="B330" s="10"/>
      <c r="C330" s="10"/>
      <c r="D330" s="13"/>
      <c r="E330" s="10"/>
    </row>
    <row r="331" spans="1:5" x14ac:dyDescent="0.25">
      <c r="A331" s="7"/>
      <c r="B331" s="10"/>
      <c r="C331" s="10"/>
      <c r="D331" s="13"/>
      <c r="E331" s="10"/>
    </row>
    <row r="332" spans="1:5" x14ac:dyDescent="0.25">
      <c r="A332" s="7"/>
      <c r="B332" s="10"/>
      <c r="C332" s="10"/>
      <c r="D332" s="13"/>
      <c r="E332" s="10"/>
    </row>
    <row r="333" spans="1:5" x14ac:dyDescent="0.25">
      <c r="A333" s="7"/>
      <c r="B333" s="10"/>
      <c r="C333" s="10"/>
      <c r="D333" s="13"/>
      <c r="E333" s="10"/>
    </row>
    <row r="334" spans="1:5" x14ac:dyDescent="0.25">
      <c r="A334" s="7"/>
      <c r="B334" s="10"/>
      <c r="C334" s="10"/>
      <c r="D334" s="13"/>
      <c r="E334" s="10"/>
    </row>
    <row r="335" spans="1:5" x14ac:dyDescent="0.25">
      <c r="A335" s="7"/>
      <c r="B335" s="10"/>
      <c r="C335" s="10"/>
      <c r="D335" s="13"/>
      <c r="E335" s="10"/>
    </row>
    <row r="336" spans="1:5" x14ac:dyDescent="0.25">
      <c r="A336" s="7"/>
      <c r="B336" s="10"/>
      <c r="C336" s="10"/>
      <c r="D336" s="13"/>
      <c r="E336" s="10"/>
    </row>
    <row r="337" spans="1:5" x14ac:dyDescent="0.25">
      <c r="A337" s="7"/>
      <c r="B337" s="10"/>
      <c r="C337" s="10"/>
      <c r="D337" s="13"/>
      <c r="E337" s="10"/>
    </row>
    <row r="338" spans="1:5" x14ac:dyDescent="0.25">
      <c r="A338" s="7"/>
      <c r="B338" s="10"/>
      <c r="C338" s="10"/>
      <c r="D338" s="13"/>
      <c r="E338" s="10"/>
    </row>
    <row r="339" spans="1:5" x14ac:dyDescent="0.25">
      <c r="A339" s="7"/>
      <c r="B339" s="10"/>
      <c r="C339" s="10"/>
      <c r="D339" s="13"/>
      <c r="E339" s="10"/>
    </row>
    <row r="340" spans="1:5" x14ac:dyDescent="0.25">
      <c r="A340" s="7"/>
      <c r="B340" s="10"/>
      <c r="C340" s="10"/>
      <c r="D340" s="13"/>
      <c r="E340" s="10"/>
    </row>
    <row r="341" spans="1:5" x14ac:dyDescent="0.25">
      <c r="A341" s="7"/>
      <c r="B341" s="10"/>
      <c r="C341" s="10"/>
      <c r="D341" s="13"/>
      <c r="E341" s="10"/>
    </row>
    <row r="342" spans="1:5" x14ac:dyDescent="0.25">
      <c r="A342" s="7"/>
      <c r="B342" s="10"/>
      <c r="C342" s="10"/>
      <c r="D342" s="13"/>
      <c r="E342" s="10"/>
    </row>
    <row r="343" spans="1:5" x14ac:dyDescent="0.25">
      <c r="A343" s="7"/>
      <c r="B343" s="10"/>
      <c r="C343" s="10"/>
      <c r="D343" s="13"/>
      <c r="E343" s="10"/>
    </row>
    <row r="344" spans="1:5" x14ac:dyDescent="0.25">
      <c r="A344" s="7"/>
      <c r="B344" s="10"/>
      <c r="C344" s="10"/>
      <c r="D344" s="13"/>
      <c r="E344" s="10"/>
    </row>
    <row r="345" spans="1:5" x14ac:dyDescent="0.25">
      <c r="A345" s="7"/>
      <c r="B345" s="10"/>
      <c r="C345" s="10"/>
      <c r="D345" s="13"/>
      <c r="E345" s="10"/>
    </row>
    <row r="346" spans="1:5" x14ac:dyDescent="0.25">
      <c r="A346" s="7"/>
      <c r="B346" s="10"/>
      <c r="C346" s="10"/>
      <c r="D346" s="13"/>
      <c r="E346" s="10"/>
    </row>
    <row r="347" spans="1:5" x14ac:dyDescent="0.25">
      <c r="A347" s="7"/>
      <c r="B347" s="10"/>
      <c r="C347" s="10"/>
      <c r="D347" s="13"/>
      <c r="E347" s="10"/>
    </row>
    <row r="348" spans="1:5" x14ac:dyDescent="0.25">
      <c r="A348" s="7"/>
      <c r="B348" s="10"/>
      <c r="C348" s="10"/>
      <c r="D348" s="13"/>
      <c r="E348" s="10"/>
    </row>
    <row r="349" spans="1:5" x14ac:dyDescent="0.25">
      <c r="A349" s="7"/>
      <c r="B349" s="10"/>
      <c r="C349" s="10"/>
      <c r="D349" s="13"/>
      <c r="E349" s="10"/>
    </row>
    <row r="350" spans="1:5" x14ac:dyDescent="0.25">
      <c r="A350" s="7"/>
      <c r="B350" s="10"/>
      <c r="C350" s="10"/>
      <c r="D350" s="13"/>
      <c r="E350" s="10"/>
    </row>
    <row r="351" spans="1:5" x14ac:dyDescent="0.25">
      <c r="A351" s="7"/>
      <c r="B351" s="10"/>
      <c r="C351" s="10"/>
      <c r="D351" s="13"/>
      <c r="E351" s="10"/>
    </row>
    <row r="352" spans="1:5" x14ac:dyDescent="0.25">
      <c r="A352" s="7"/>
      <c r="B352" s="10"/>
      <c r="C352" s="10"/>
      <c r="D352" s="13"/>
      <c r="E352" s="10"/>
    </row>
    <row r="353" spans="1:5" x14ac:dyDescent="0.25">
      <c r="A353" s="7"/>
      <c r="B353" s="10"/>
      <c r="C353" s="10"/>
      <c r="D353" s="13"/>
      <c r="E353" s="10"/>
    </row>
    <row r="354" spans="1:5" x14ac:dyDescent="0.25">
      <c r="A354" s="7"/>
      <c r="B354" s="10"/>
      <c r="C354" s="10"/>
      <c r="D354" s="13"/>
      <c r="E354" s="10"/>
    </row>
    <row r="355" spans="1:5" x14ac:dyDescent="0.25">
      <c r="A355" s="7"/>
      <c r="B355" s="10"/>
      <c r="C355" s="10"/>
      <c r="D355" s="13"/>
      <c r="E355" s="10"/>
    </row>
    <row r="356" spans="1:5" x14ac:dyDescent="0.25">
      <c r="A356" s="7"/>
      <c r="B356" s="10"/>
      <c r="C356" s="10"/>
      <c r="D356" s="13"/>
      <c r="E356" s="10"/>
    </row>
    <row r="357" spans="1:5" x14ac:dyDescent="0.25">
      <c r="A357" s="7"/>
      <c r="B357" s="10"/>
      <c r="C357" s="10"/>
      <c r="D357" s="13"/>
      <c r="E357" s="10"/>
    </row>
    <row r="358" spans="1:5" x14ac:dyDescent="0.25">
      <c r="A358" s="7"/>
      <c r="B358" s="10"/>
      <c r="C358" s="10"/>
      <c r="D358" s="13"/>
      <c r="E358" s="10"/>
    </row>
    <row r="359" spans="1:5" x14ac:dyDescent="0.25">
      <c r="A359" s="7"/>
      <c r="B359" s="10"/>
      <c r="C359" s="10"/>
      <c r="D359" s="13"/>
      <c r="E359" s="10"/>
    </row>
    <row r="360" spans="1:5" x14ac:dyDescent="0.25">
      <c r="A360" s="7"/>
      <c r="B360" s="10"/>
      <c r="C360" s="10"/>
      <c r="D360" s="13"/>
      <c r="E360" s="10"/>
    </row>
    <row r="361" spans="1:5" x14ac:dyDescent="0.25">
      <c r="A361" s="7"/>
      <c r="B361" s="10"/>
      <c r="C361" s="10"/>
      <c r="D361" s="13"/>
      <c r="E361" s="10"/>
    </row>
    <row r="362" spans="1:5" x14ac:dyDescent="0.25">
      <c r="A362" s="7"/>
      <c r="B362" s="10"/>
      <c r="C362" s="10"/>
      <c r="D362" s="13"/>
      <c r="E362" s="10"/>
    </row>
    <row r="363" spans="1:5" x14ac:dyDescent="0.25">
      <c r="A363" s="7"/>
      <c r="B363" s="10"/>
      <c r="C363" s="10"/>
      <c r="D363" s="13"/>
      <c r="E363" s="10"/>
    </row>
    <row r="364" spans="1:5" x14ac:dyDescent="0.25">
      <c r="A364" s="7"/>
      <c r="B364" s="10"/>
      <c r="C364" s="10"/>
      <c r="D364" s="13"/>
      <c r="E364" s="10"/>
    </row>
    <row r="365" spans="1:5" x14ac:dyDescent="0.25">
      <c r="A365" s="7"/>
      <c r="B365" s="10"/>
      <c r="C365" s="10"/>
      <c r="D365" s="13"/>
      <c r="E365" s="10"/>
    </row>
    <row r="366" spans="1:5" x14ac:dyDescent="0.25">
      <c r="A366" s="7"/>
      <c r="B366" s="10"/>
      <c r="C366" s="10"/>
      <c r="D366" s="13"/>
      <c r="E366" s="10"/>
    </row>
    <row r="367" spans="1:5" x14ac:dyDescent="0.25">
      <c r="A367" s="7"/>
      <c r="B367" s="10"/>
      <c r="C367" s="10"/>
      <c r="D367" s="13"/>
      <c r="E367" s="10"/>
    </row>
    <row r="368" spans="1:5" x14ac:dyDescent="0.25">
      <c r="A368" s="7"/>
      <c r="B368" s="10"/>
      <c r="C368" s="10"/>
      <c r="D368" s="13"/>
      <c r="E368" s="10"/>
    </row>
    <row r="369" spans="1:5" x14ac:dyDescent="0.25">
      <c r="A369" s="7"/>
      <c r="B369" s="10"/>
      <c r="C369" s="10"/>
      <c r="D369" s="13"/>
      <c r="E369" s="10"/>
    </row>
    <row r="370" spans="1:5" x14ac:dyDescent="0.25">
      <c r="A370" s="7"/>
      <c r="B370" s="10"/>
      <c r="C370" s="10"/>
      <c r="D370" s="13"/>
      <c r="E370" s="10"/>
    </row>
    <row r="371" spans="1:5" x14ac:dyDescent="0.25">
      <c r="A371" s="7"/>
      <c r="B371" s="10"/>
      <c r="C371" s="10"/>
      <c r="D371" s="13"/>
      <c r="E371" s="10"/>
    </row>
    <row r="372" spans="1:5" x14ac:dyDescent="0.25">
      <c r="A372" s="7"/>
      <c r="B372" s="10"/>
      <c r="C372" s="10"/>
      <c r="D372" s="13"/>
      <c r="E372" s="10"/>
    </row>
    <row r="373" spans="1:5" x14ac:dyDescent="0.25">
      <c r="A373" s="7"/>
      <c r="B373" s="10"/>
      <c r="C373" s="10"/>
      <c r="D373" s="13"/>
      <c r="E373" s="10"/>
    </row>
    <row r="374" spans="1:5" x14ac:dyDescent="0.25">
      <c r="A374" s="7"/>
      <c r="B374" s="10"/>
      <c r="C374" s="10"/>
      <c r="D374" s="13"/>
      <c r="E374" s="10"/>
    </row>
    <row r="375" spans="1:5" x14ac:dyDescent="0.25">
      <c r="A375" s="7"/>
      <c r="B375" s="10"/>
      <c r="C375" s="10"/>
      <c r="D375" s="13"/>
      <c r="E375" s="10"/>
    </row>
    <row r="376" spans="1:5" x14ac:dyDescent="0.25">
      <c r="A376" s="7"/>
      <c r="B376" s="10"/>
      <c r="C376" s="10"/>
      <c r="D376" s="13"/>
      <c r="E376" s="10"/>
    </row>
    <row r="377" spans="1:5" x14ac:dyDescent="0.25">
      <c r="A377" s="7"/>
      <c r="B377" s="10"/>
      <c r="C377" s="10"/>
      <c r="D377" s="13"/>
      <c r="E377" s="10"/>
    </row>
    <row r="378" spans="1:5" x14ac:dyDescent="0.25">
      <c r="A378" s="7"/>
      <c r="B378" s="10"/>
      <c r="C378" s="10"/>
      <c r="D378" s="13"/>
      <c r="E378" s="10"/>
    </row>
    <row r="379" spans="1:5" x14ac:dyDescent="0.25">
      <c r="A379" s="7"/>
      <c r="B379" s="10"/>
      <c r="C379" s="10"/>
      <c r="D379" s="13"/>
      <c r="E379" s="10"/>
    </row>
    <row r="380" spans="1:5" x14ac:dyDescent="0.25">
      <c r="A380" s="7"/>
      <c r="B380" s="10"/>
      <c r="C380" s="10"/>
      <c r="D380" s="13"/>
      <c r="E380" s="10"/>
    </row>
    <row r="381" spans="1:5" x14ac:dyDescent="0.25">
      <c r="A381" s="7"/>
      <c r="B381" s="10"/>
      <c r="C381" s="10"/>
      <c r="D381" s="13"/>
      <c r="E381" s="10"/>
    </row>
    <row r="382" spans="1:5" x14ac:dyDescent="0.25">
      <c r="A382" s="7"/>
      <c r="B382" s="10"/>
      <c r="C382" s="10"/>
      <c r="D382" s="13"/>
      <c r="E382" s="10"/>
    </row>
    <row r="383" spans="1:5" x14ac:dyDescent="0.25">
      <c r="A383" s="7"/>
      <c r="B383" s="10"/>
      <c r="C383" s="10"/>
      <c r="D383" s="13"/>
      <c r="E383" s="10"/>
    </row>
    <row r="384" spans="1:5" x14ac:dyDescent="0.25">
      <c r="A384" s="7"/>
      <c r="B384" s="10"/>
      <c r="C384" s="10"/>
      <c r="D384" s="13"/>
      <c r="E384" s="10"/>
    </row>
    <row r="385" spans="1:5" x14ac:dyDescent="0.25">
      <c r="A385" s="7"/>
      <c r="B385" s="10"/>
      <c r="C385" s="10"/>
      <c r="D385" s="13"/>
      <c r="E385" s="10"/>
    </row>
    <row r="386" spans="1:5" x14ac:dyDescent="0.25">
      <c r="A386" s="7"/>
      <c r="B386" s="10"/>
      <c r="C386" s="10"/>
      <c r="D386" s="13"/>
      <c r="E386" s="10"/>
    </row>
    <row r="387" spans="1:5" x14ac:dyDescent="0.25">
      <c r="A387" s="7"/>
      <c r="B387" s="10"/>
      <c r="C387" s="10"/>
      <c r="D387" s="13"/>
      <c r="E387" s="10"/>
    </row>
    <row r="388" spans="1:5" x14ac:dyDescent="0.25">
      <c r="A388" s="7"/>
      <c r="B388" s="10"/>
      <c r="C388" s="10"/>
      <c r="D388" s="13"/>
      <c r="E388" s="10"/>
    </row>
    <row r="389" spans="1:5" x14ac:dyDescent="0.25">
      <c r="A389" s="7"/>
      <c r="B389" s="10"/>
      <c r="C389" s="10"/>
      <c r="D389" s="13"/>
      <c r="E389" s="10"/>
    </row>
    <row r="390" spans="1:5" x14ac:dyDescent="0.25">
      <c r="A390" s="7"/>
      <c r="B390" s="10"/>
      <c r="C390" s="10"/>
      <c r="D390" s="13"/>
      <c r="E390" s="10"/>
    </row>
    <row r="391" spans="1:5" x14ac:dyDescent="0.25">
      <c r="A391" s="7"/>
      <c r="B391" s="10"/>
      <c r="C391" s="10"/>
      <c r="D391" s="13"/>
      <c r="E391" s="10"/>
    </row>
    <row r="392" spans="1:5" x14ac:dyDescent="0.25">
      <c r="A392" s="7"/>
      <c r="B392" s="10"/>
      <c r="C392" s="10"/>
      <c r="D392" s="13"/>
      <c r="E392" s="10"/>
    </row>
    <row r="393" spans="1:5" x14ac:dyDescent="0.25">
      <c r="A393" s="7"/>
      <c r="B393" s="10"/>
      <c r="C393" s="10"/>
      <c r="D393" s="13"/>
      <c r="E393" s="10"/>
    </row>
    <row r="394" spans="1:5" x14ac:dyDescent="0.25">
      <c r="A394" s="7"/>
      <c r="B394" s="10"/>
      <c r="C394" s="10"/>
      <c r="D394" s="13"/>
      <c r="E394" s="10"/>
    </row>
    <row r="395" spans="1:5" x14ac:dyDescent="0.25">
      <c r="A395" s="7"/>
      <c r="B395" s="10"/>
      <c r="C395" s="10"/>
      <c r="D395" s="13"/>
      <c r="E395" s="10"/>
    </row>
    <row r="396" spans="1:5" x14ac:dyDescent="0.25">
      <c r="A396" s="7"/>
      <c r="B396" s="10"/>
      <c r="C396" s="10"/>
      <c r="D396" s="13"/>
      <c r="E396" s="10"/>
    </row>
    <row r="397" spans="1:5" x14ac:dyDescent="0.25">
      <c r="A397" s="7"/>
      <c r="B397" s="10"/>
      <c r="C397" s="10"/>
      <c r="D397" s="13"/>
      <c r="E397" s="10"/>
    </row>
    <row r="398" spans="1:5" x14ac:dyDescent="0.25">
      <c r="A398" s="7"/>
      <c r="B398" s="10"/>
      <c r="C398" s="10"/>
      <c r="D398" s="13"/>
      <c r="E398" s="10"/>
    </row>
    <row r="399" spans="1:5" x14ac:dyDescent="0.25">
      <c r="A399" s="7"/>
      <c r="B399" s="10"/>
      <c r="C399" s="10"/>
      <c r="D399" s="13"/>
      <c r="E399" s="10"/>
    </row>
    <row r="400" spans="1:5" x14ac:dyDescent="0.25">
      <c r="A400" s="7"/>
      <c r="B400" s="10"/>
      <c r="C400" s="10"/>
      <c r="D400" s="13"/>
      <c r="E400" s="10"/>
    </row>
    <row r="401" spans="1:5" x14ac:dyDescent="0.25">
      <c r="A401" s="7"/>
      <c r="B401" s="10"/>
      <c r="C401" s="10"/>
      <c r="D401" s="13"/>
      <c r="E401" s="10"/>
    </row>
    <row r="402" spans="1:5" x14ac:dyDescent="0.25">
      <c r="A402" s="7"/>
      <c r="B402" s="10"/>
      <c r="C402" s="10"/>
      <c r="D402" s="13"/>
      <c r="E402" s="10"/>
    </row>
    <row r="403" spans="1:5" x14ac:dyDescent="0.25">
      <c r="A403" s="7"/>
      <c r="B403" s="10"/>
      <c r="C403" s="10"/>
      <c r="D403" s="13"/>
      <c r="E403" s="10"/>
    </row>
    <row r="404" spans="1:5" x14ac:dyDescent="0.25">
      <c r="A404" s="7"/>
      <c r="B404" s="10"/>
      <c r="C404" s="10"/>
      <c r="D404" s="13"/>
      <c r="E404" s="10"/>
    </row>
    <row r="405" spans="1:5" x14ac:dyDescent="0.25">
      <c r="A405" s="7"/>
      <c r="B405" s="10"/>
      <c r="C405" s="10"/>
      <c r="D405" s="13"/>
      <c r="E405" s="10"/>
    </row>
    <row r="406" spans="1:5" x14ac:dyDescent="0.25">
      <c r="A406" s="7"/>
      <c r="B406" s="10"/>
      <c r="C406" s="10"/>
      <c r="D406" s="13"/>
      <c r="E406" s="10"/>
    </row>
    <row r="407" spans="1:5" x14ac:dyDescent="0.25">
      <c r="A407" s="7"/>
      <c r="B407" s="10"/>
      <c r="C407" s="10"/>
      <c r="D407" s="13"/>
      <c r="E407" s="10"/>
    </row>
    <row r="408" spans="1:5" x14ac:dyDescent="0.25">
      <c r="A408" s="7"/>
      <c r="B408" s="10"/>
      <c r="C408" s="10"/>
      <c r="D408" s="13"/>
      <c r="E408" s="10"/>
    </row>
    <row r="409" spans="1:5" x14ac:dyDescent="0.25">
      <c r="A409" s="7"/>
      <c r="B409" s="10"/>
      <c r="C409" s="10"/>
      <c r="D409" s="13"/>
      <c r="E409" s="10"/>
    </row>
    <row r="410" spans="1:5" x14ac:dyDescent="0.25">
      <c r="A410" s="7"/>
      <c r="B410" s="10"/>
      <c r="C410" s="10"/>
      <c r="D410" s="13"/>
      <c r="E410" s="10"/>
    </row>
    <row r="411" spans="1:5" x14ac:dyDescent="0.25">
      <c r="A411" s="7"/>
      <c r="B411" s="10"/>
      <c r="C411" s="10"/>
      <c r="D411" s="13"/>
      <c r="E411" s="10"/>
    </row>
    <row r="412" spans="1:5" x14ac:dyDescent="0.25">
      <c r="A412" s="7"/>
      <c r="B412" s="10"/>
      <c r="C412" s="10"/>
      <c r="D412" s="13"/>
      <c r="E412" s="10"/>
    </row>
    <row r="413" spans="1:5" x14ac:dyDescent="0.25">
      <c r="A413" s="7"/>
      <c r="B413" s="10"/>
      <c r="C413" s="10"/>
      <c r="D413" s="13"/>
      <c r="E413" s="10"/>
    </row>
    <row r="414" spans="1:5" x14ac:dyDescent="0.25">
      <c r="A414" s="7"/>
      <c r="B414" s="10"/>
      <c r="C414" s="10"/>
      <c r="D414" s="13"/>
      <c r="E414" s="10"/>
    </row>
    <row r="415" spans="1:5" x14ac:dyDescent="0.25">
      <c r="A415" s="7"/>
      <c r="B415" s="10"/>
      <c r="C415" s="10"/>
      <c r="D415" s="13"/>
      <c r="E415" s="10"/>
    </row>
    <row r="416" spans="1:5" x14ac:dyDescent="0.25">
      <c r="A416" s="7"/>
      <c r="B416" s="10"/>
      <c r="C416" s="10"/>
      <c r="D416" s="13"/>
      <c r="E416" s="10"/>
    </row>
    <row r="417" spans="1:5" x14ac:dyDescent="0.25">
      <c r="A417" s="7"/>
      <c r="B417" s="10"/>
      <c r="C417" s="10"/>
      <c r="D417" s="13"/>
      <c r="E417" s="10"/>
    </row>
    <row r="418" spans="1:5" x14ac:dyDescent="0.25">
      <c r="A418" s="7"/>
      <c r="B418" s="10"/>
      <c r="C418" s="10"/>
      <c r="D418" s="13"/>
      <c r="E418" s="10"/>
    </row>
    <row r="419" spans="1:5" x14ac:dyDescent="0.25">
      <c r="A419" s="7"/>
      <c r="B419" s="10"/>
      <c r="C419" s="10"/>
      <c r="D419" s="13"/>
      <c r="E419" s="10"/>
    </row>
    <row r="420" spans="1:5" x14ac:dyDescent="0.25">
      <c r="A420" s="7"/>
      <c r="B420" s="10"/>
      <c r="C420" s="10"/>
      <c r="D420" s="13"/>
      <c r="E420" s="10"/>
    </row>
    <row r="421" spans="1:5" x14ac:dyDescent="0.25">
      <c r="A421" s="7"/>
      <c r="B421" s="10"/>
      <c r="C421" s="10"/>
      <c r="D421" s="13"/>
      <c r="E421" s="10"/>
    </row>
    <row r="422" spans="1:5" x14ac:dyDescent="0.25">
      <c r="A422" s="7"/>
      <c r="B422" s="10"/>
      <c r="C422" s="10"/>
      <c r="D422" s="13"/>
      <c r="E422" s="10"/>
    </row>
    <row r="423" spans="1:5" x14ac:dyDescent="0.25">
      <c r="A423" s="7"/>
      <c r="B423" s="10"/>
      <c r="C423" s="10"/>
      <c r="D423" s="13"/>
      <c r="E423" s="10"/>
    </row>
    <row r="424" spans="1:5" x14ac:dyDescent="0.25">
      <c r="A424" s="7"/>
      <c r="B424" s="10"/>
      <c r="C424" s="10"/>
      <c r="D424" s="13"/>
      <c r="E424" s="10"/>
    </row>
    <row r="425" spans="1:5" x14ac:dyDescent="0.25">
      <c r="A425" s="7"/>
      <c r="B425" s="10"/>
      <c r="C425" s="10"/>
      <c r="D425" s="13"/>
      <c r="E425" s="10"/>
    </row>
    <row r="426" spans="1:5" x14ac:dyDescent="0.25">
      <c r="A426" s="7"/>
      <c r="B426" s="10"/>
      <c r="C426" s="10"/>
      <c r="D426" s="13"/>
      <c r="E426" s="10"/>
    </row>
    <row r="427" spans="1:5" x14ac:dyDescent="0.25">
      <c r="A427" s="7"/>
      <c r="B427" s="10"/>
      <c r="C427" s="10"/>
      <c r="D427" s="13"/>
      <c r="E427" s="10"/>
    </row>
    <row r="428" spans="1:5" x14ac:dyDescent="0.25">
      <c r="A428" s="7"/>
      <c r="B428" s="10"/>
      <c r="C428" s="10"/>
      <c r="D428" s="13"/>
      <c r="E428" s="10"/>
    </row>
    <row r="429" spans="1:5" x14ac:dyDescent="0.25">
      <c r="A429" s="7"/>
      <c r="B429" s="10"/>
      <c r="C429" s="10"/>
      <c r="D429" s="13"/>
      <c r="E429" s="10"/>
    </row>
    <row r="430" spans="1:5" x14ac:dyDescent="0.25">
      <c r="A430" s="7"/>
      <c r="B430" s="10"/>
      <c r="C430" s="10"/>
      <c r="D430" s="13"/>
      <c r="E430" s="10"/>
    </row>
    <row r="431" spans="1:5" x14ac:dyDescent="0.25">
      <c r="A431" s="7"/>
      <c r="B431" s="10"/>
      <c r="C431" s="10"/>
      <c r="D431" s="13"/>
      <c r="E431" s="10"/>
    </row>
    <row r="432" spans="1:5" x14ac:dyDescent="0.25">
      <c r="A432" s="7"/>
      <c r="B432" s="10"/>
      <c r="C432" s="10"/>
      <c r="D432" s="13"/>
      <c r="E432" s="10"/>
    </row>
    <row r="433" spans="1:5" x14ac:dyDescent="0.25">
      <c r="A433" s="7"/>
      <c r="B433" s="10"/>
      <c r="C433" s="10"/>
      <c r="D433" s="13"/>
      <c r="E433" s="10"/>
    </row>
    <row r="434" spans="1:5" x14ac:dyDescent="0.25">
      <c r="A434" s="7"/>
      <c r="B434" s="10"/>
      <c r="C434" s="10"/>
      <c r="D434" s="13"/>
      <c r="E434" s="10"/>
    </row>
    <row r="435" spans="1:5" x14ac:dyDescent="0.25">
      <c r="A435" s="7"/>
      <c r="B435" s="10"/>
      <c r="C435" s="10"/>
      <c r="D435" s="13"/>
      <c r="E435" s="10"/>
    </row>
    <row r="436" spans="1:5" x14ac:dyDescent="0.25">
      <c r="A436" s="7"/>
      <c r="B436" s="10"/>
      <c r="C436" s="10"/>
      <c r="D436" s="13"/>
      <c r="E436" s="10"/>
    </row>
    <row r="437" spans="1:5" x14ac:dyDescent="0.25">
      <c r="A437" s="7"/>
      <c r="B437" s="10"/>
      <c r="C437" s="10"/>
      <c r="D437" s="13"/>
      <c r="E437" s="10"/>
    </row>
    <row r="438" spans="1:5" x14ac:dyDescent="0.25">
      <c r="A438" s="7"/>
      <c r="B438" s="10"/>
      <c r="C438" s="10"/>
      <c r="D438" s="13"/>
      <c r="E438" s="10"/>
    </row>
    <row r="439" spans="1:5" x14ac:dyDescent="0.25">
      <c r="A439" s="7"/>
      <c r="B439" s="10"/>
      <c r="C439" s="10"/>
      <c r="D439" s="13"/>
      <c r="E439" s="10"/>
    </row>
    <row r="440" spans="1:5" x14ac:dyDescent="0.25">
      <c r="A440" s="7"/>
      <c r="B440" s="10"/>
      <c r="C440" s="10"/>
      <c r="D440" s="13"/>
      <c r="E440" s="10"/>
    </row>
    <row r="441" spans="1:5" x14ac:dyDescent="0.25">
      <c r="A441" s="7"/>
      <c r="B441" s="10"/>
      <c r="C441" s="10"/>
      <c r="D441" s="13"/>
      <c r="E441" s="10"/>
    </row>
    <row r="442" spans="1:5" x14ac:dyDescent="0.25">
      <c r="A442" s="7"/>
      <c r="B442" s="10"/>
      <c r="C442" s="10"/>
      <c r="D442" s="13"/>
      <c r="E442" s="10"/>
    </row>
    <row r="443" spans="1:5" x14ac:dyDescent="0.25">
      <c r="A443" s="7"/>
      <c r="B443" s="10"/>
      <c r="C443" s="10"/>
      <c r="D443" s="13"/>
      <c r="E443" s="10"/>
    </row>
    <row r="444" spans="1:5" x14ac:dyDescent="0.25">
      <c r="A444" s="7"/>
      <c r="B444" s="10"/>
      <c r="C444" s="10"/>
      <c r="D444" s="13"/>
      <c r="E444" s="10"/>
    </row>
    <row r="445" spans="1:5" x14ac:dyDescent="0.25">
      <c r="A445" s="7"/>
      <c r="B445" s="10"/>
      <c r="C445" s="10"/>
      <c r="D445" s="13"/>
      <c r="E445" s="10"/>
    </row>
    <row r="446" spans="1:5" x14ac:dyDescent="0.25">
      <c r="A446" s="7"/>
      <c r="B446" s="10"/>
      <c r="C446" s="10"/>
      <c r="D446" s="13"/>
      <c r="E446" s="10"/>
    </row>
    <row r="447" spans="1:5" x14ac:dyDescent="0.25">
      <c r="A447" s="7"/>
      <c r="B447" s="10"/>
      <c r="C447" s="10"/>
      <c r="D447" s="13"/>
      <c r="E447" s="10"/>
    </row>
    <row r="448" spans="1:5" x14ac:dyDescent="0.25">
      <c r="A448" s="7"/>
      <c r="B448" s="10"/>
      <c r="C448" s="10"/>
      <c r="D448" s="13"/>
      <c r="E448" s="10"/>
    </row>
    <row r="449" spans="1:5" x14ac:dyDescent="0.25">
      <c r="A449" s="7"/>
      <c r="B449" s="10"/>
      <c r="C449" s="10"/>
      <c r="D449" s="13"/>
      <c r="E449" s="10"/>
    </row>
    <row r="450" spans="1:5" x14ac:dyDescent="0.25">
      <c r="A450" s="7"/>
      <c r="B450" s="10"/>
      <c r="C450" s="10"/>
      <c r="D450" s="13"/>
      <c r="E450" s="10"/>
    </row>
    <row r="451" spans="1:5" x14ac:dyDescent="0.25">
      <c r="A451" s="7"/>
      <c r="B451" s="10"/>
      <c r="C451" s="10"/>
      <c r="D451" s="13"/>
      <c r="E451" s="10"/>
    </row>
    <row r="452" spans="1:5" x14ac:dyDescent="0.25">
      <c r="A452" s="7"/>
      <c r="B452" s="10"/>
      <c r="C452" s="10"/>
      <c r="D452" s="13"/>
      <c r="E452" s="10"/>
    </row>
    <row r="453" spans="1:5" x14ac:dyDescent="0.25">
      <c r="A453" s="7"/>
      <c r="B453" s="10"/>
      <c r="C453" s="10"/>
      <c r="D453" s="13"/>
      <c r="E453" s="10"/>
    </row>
    <row r="454" spans="1:5" x14ac:dyDescent="0.25">
      <c r="A454" s="7"/>
      <c r="B454" s="10"/>
      <c r="C454" s="10"/>
      <c r="D454" s="13"/>
      <c r="E454" s="10"/>
    </row>
    <row r="455" spans="1:5" x14ac:dyDescent="0.25">
      <c r="A455" s="7"/>
      <c r="B455" s="10"/>
      <c r="C455" s="10"/>
      <c r="D455" s="13"/>
      <c r="E455" s="10"/>
    </row>
    <row r="456" spans="1:5" x14ac:dyDescent="0.25">
      <c r="A456" s="7"/>
      <c r="B456" s="10"/>
      <c r="C456" s="10"/>
      <c r="D456" s="13"/>
      <c r="E456" s="10"/>
    </row>
    <row r="457" spans="1:5" x14ac:dyDescent="0.25">
      <c r="A457" s="7"/>
      <c r="B457" s="10"/>
      <c r="C457" s="10"/>
      <c r="D457" s="13"/>
      <c r="E457" s="10"/>
    </row>
    <row r="458" spans="1:5" x14ac:dyDescent="0.25">
      <c r="A458" s="7"/>
      <c r="B458" s="10"/>
      <c r="C458" s="10"/>
      <c r="D458" s="13"/>
      <c r="E458" s="10"/>
    </row>
    <row r="459" spans="1:5" x14ac:dyDescent="0.25">
      <c r="A459" s="7"/>
      <c r="B459" s="10"/>
      <c r="C459" s="10"/>
      <c r="D459" s="13"/>
      <c r="E459" s="10"/>
    </row>
    <row r="460" spans="1:5" x14ac:dyDescent="0.25">
      <c r="A460" s="7"/>
      <c r="B460" s="10"/>
      <c r="C460" s="10"/>
      <c r="D460" s="13"/>
      <c r="E460" s="10"/>
    </row>
    <row r="461" spans="1:5" x14ac:dyDescent="0.25">
      <c r="A461" s="7"/>
      <c r="B461" s="10"/>
      <c r="C461" s="10"/>
      <c r="D461" s="13"/>
      <c r="E461" s="10"/>
    </row>
    <row r="462" spans="1:5" x14ac:dyDescent="0.25">
      <c r="A462" s="7"/>
      <c r="B462" s="10"/>
      <c r="C462" s="10"/>
      <c r="D462" s="13"/>
      <c r="E462" s="10"/>
    </row>
    <row r="463" spans="1:5" x14ac:dyDescent="0.25">
      <c r="A463" s="7"/>
      <c r="B463" s="10"/>
      <c r="C463" s="10"/>
      <c r="D463" s="13"/>
      <c r="E463" s="10"/>
    </row>
    <row r="464" spans="1:5" x14ac:dyDescent="0.25">
      <c r="A464" s="7"/>
      <c r="B464" s="10"/>
      <c r="C464" s="10"/>
      <c r="D464" s="13"/>
      <c r="E464" s="10"/>
    </row>
    <row r="465" spans="1:5" x14ac:dyDescent="0.25">
      <c r="A465" s="7"/>
      <c r="B465" s="10"/>
      <c r="C465" s="10"/>
      <c r="D465" s="13"/>
      <c r="E465" s="10"/>
    </row>
    <row r="466" spans="1:5" x14ac:dyDescent="0.25">
      <c r="A466" s="7"/>
      <c r="B466" s="10"/>
      <c r="C466" s="10"/>
      <c r="D466" s="13"/>
      <c r="E466" s="10"/>
    </row>
    <row r="467" spans="1:5" x14ac:dyDescent="0.25">
      <c r="A467" s="7"/>
      <c r="B467" s="10"/>
      <c r="C467" s="10"/>
      <c r="D467" s="13"/>
      <c r="E467" s="10"/>
    </row>
    <row r="468" spans="1:5" x14ac:dyDescent="0.25">
      <c r="A468" s="7"/>
      <c r="B468" s="10"/>
      <c r="C468" s="10"/>
      <c r="D468" s="13"/>
      <c r="E468" s="10"/>
    </row>
    <row r="469" spans="1:5" x14ac:dyDescent="0.25">
      <c r="A469" s="7"/>
      <c r="B469" s="10"/>
      <c r="C469" s="10"/>
      <c r="D469" s="13"/>
      <c r="E469" s="10"/>
    </row>
    <row r="470" spans="1:5" x14ac:dyDescent="0.25">
      <c r="A470" s="7"/>
      <c r="B470" s="10"/>
      <c r="C470" s="10"/>
      <c r="D470" s="13"/>
      <c r="E470" s="10"/>
    </row>
    <row r="471" spans="1:5" x14ac:dyDescent="0.25">
      <c r="A471" s="7"/>
      <c r="B471" s="10"/>
      <c r="C471" s="10"/>
      <c r="D471" s="13"/>
      <c r="E471" s="10"/>
    </row>
    <row r="472" spans="1:5" x14ac:dyDescent="0.25">
      <c r="A472" s="7"/>
      <c r="B472" s="10"/>
      <c r="C472" s="10"/>
      <c r="D472" s="13"/>
      <c r="E472" s="10"/>
    </row>
    <row r="473" spans="1:5" x14ac:dyDescent="0.25">
      <c r="A473" s="7"/>
      <c r="B473" s="10"/>
      <c r="C473" s="10"/>
      <c r="D473" s="13"/>
      <c r="E473" s="10"/>
    </row>
    <row r="474" spans="1:5" x14ac:dyDescent="0.25">
      <c r="A474" s="7"/>
      <c r="B474" s="10"/>
      <c r="C474" s="10"/>
      <c r="D474" s="13"/>
      <c r="E474" s="10"/>
    </row>
    <row r="475" spans="1:5" x14ac:dyDescent="0.25">
      <c r="A475" s="7"/>
      <c r="B475" s="10"/>
      <c r="C475" s="10"/>
      <c r="D475" s="13"/>
      <c r="E475" s="10"/>
    </row>
    <row r="476" spans="1:5" x14ac:dyDescent="0.25">
      <c r="A476" s="7"/>
      <c r="B476" s="10"/>
      <c r="C476" s="10"/>
      <c r="D476" s="13"/>
      <c r="E476" s="10"/>
    </row>
    <row r="477" spans="1:5" x14ac:dyDescent="0.25">
      <c r="A477" s="7"/>
      <c r="B477" s="10"/>
      <c r="C477" s="10"/>
      <c r="D477" s="13"/>
      <c r="E477" s="10"/>
    </row>
    <row r="478" spans="1:5" x14ac:dyDescent="0.25">
      <c r="A478" s="7"/>
      <c r="B478" s="10"/>
      <c r="C478" s="10"/>
      <c r="D478" s="13"/>
      <c r="E478" s="10"/>
    </row>
    <row r="479" spans="1:5" x14ac:dyDescent="0.25">
      <c r="A479" s="7"/>
      <c r="B479" s="10"/>
      <c r="C479" s="10"/>
      <c r="D479" s="13"/>
      <c r="E479" s="10"/>
    </row>
    <row r="480" spans="1:5" x14ac:dyDescent="0.25">
      <c r="A480" s="7"/>
      <c r="B480" s="10"/>
      <c r="C480" s="10"/>
      <c r="D480" s="13"/>
      <c r="E480" s="10"/>
    </row>
    <row r="481" spans="1:5" x14ac:dyDescent="0.25">
      <c r="A481" s="7"/>
      <c r="B481" s="10"/>
      <c r="C481" s="10"/>
      <c r="D481" s="13"/>
      <c r="E481" s="10"/>
    </row>
    <row r="482" spans="1:5" x14ac:dyDescent="0.25">
      <c r="A482" s="7"/>
      <c r="B482" s="10"/>
      <c r="C482" s="10"/>
      <c r="D482" s="13"/>
      <c r="E482" s="10"/>
    </row>
    <row r="483" spans="1:5" x14ac:dyDescent="0.25">
      <c r="A483" s="7"/>
      <c r="B483" s="10"/>
      <c r="C483" s="10"/>
      <c r="D483" s="13"/>
      <c r="E483" s="10"/>
    </row>
    <row r="484" spans="1:5" x14ac:dyDescent="0.25">
      <c r="A484" s="7"/>
      <c r="B484" s="10"/>
      <c r="C484" s="10"/>
      <c r="D484" s="13"/>
      <c r="E484" s="10"/>
    </row>
    <row r="485" spans="1:5" x14ac:dyDescent="0.25">
      <c r="A485" s="7"/>
      <c r="B485" s="10"/>
      <c r="C485" s="10"/>
      <c r="D485" s="13"/>
      <c r="E485" s="10"/>
    </row>
    <row r="486" spans="1:5" x14ac:dyDescent="0.25">
      <c r="A486" s="7"/>
      <c r="B486" s="10"/>
      <c r="C486" s="10"/>
      <c r="D486" s="13"/>
      <c r="E486" s="10"/>
    </row>
    <row r="487" spans="1:5" x14ac:dyDescent="0.25">
      <c r="A487" s="7"/>
      <c r="B487" s="10"/>
      <c r="C487" s="10"/>
      <c r="D487" s="13"/>
      <c r="E487" s="10"/>
    </row>
    <row r="488" spans="1:5" x14ac:dyDescent="0.25">
      <c r="A488" s="7"/>
      <c r="B488" s="10"/>
      <c r="C488" s="10"/>
      <c r="D488" s="13"/>
      <c r="E488" s="10"/>
    </row>
    <row r="489" spans="1:5" x14ac:dyDescent="0.25">
      <c r="A489" s="7"/>
      <c r="B489" s="10"/>
      <c r="C489" s="10"/>
      <c r="D489" s="13"/>
      <c r="E489" s="10"/>
    </row>
    <row r="490" spans="1:5" x14ac:dyDescent="0.25">
      <c r="A490" s="7"/>
      <c r="B490" s="10"/>
      <c r="C490" s="10"/>
      <c r="D490" s="13"/>
      <c r="E490" s="10"/>
    </row>
    <row r="491" spans="1:5" x14ac:dyDescent="0.25">
      <c r="A491" s="7"/>
      <c r="B491" s="10"/>
      <c r="C491" s="10"/>
      <c r="D491" s="13"/>
      <c r="E491" s="10"/>
    </row>
    <row r="492" spans="1:5" x14ac:dyDescent="0.25">
      <c r="A492" s="7"/>
      <c r="B492" s="10"/>
      <c r="C492" s="10"/>
      <c r="D492" s="13"/>
      <c r="E492" s="10"/>
    </row>
    <row r="493" spans="1:5" x14ac:dyDescent="0.25">
      <c r="A493" s="7"/>
      <c r="B493" s="10"/>
      <c r="C493" s="10"/>
      <c r="D493" s="13"/>
      <c r="E493" s="10"/>
    </row>
    <row r="494" spans="1:5" x14ac:dyDescent="0.25">
      <c r="A494" s="7"/>
      <c r="B494" s="10"/>
      <c r="C494" s="10"/>
      <c r="D494" s="13"/>
      <c r="E494" s="10"/>
    </row>
    <row r="495" spans="1:5" x14ac:dyDescent="0.25">
      <c r="A495" s="7"/>
      <c r="B495" s="10"/>
      <c r="C495" s="10"/>
      <c r="D495" s="13"/>
      <c r="E495" s="10"/>
    </row>
    <row r="496" spans="1:5" x14ac:dyDescent="0.25">
      <c r="A496" s="7"/>
      <c r="B496" s="10"/>
      <c r="C496" s="10"/>
      <c r="D496" s="13"/>
      <c r="E496" s="10"/>
    </row>
    <row r="497" spans="1:5" x14ac:dyDescent="0.25">
      <c r="A497" s="7"/>
      <c r="B497" s="10"/>
      <c r="C497" s="10"/>
      <c r="D497" s="13"/>
      <c r="E497" s="10"/>
    </row>
    <row r="498" spans="1:5" x14ac:dyDescent="0.25">
      <c r="A498" s="7"/>
      <c r="B498" s="10"/>
      <c r="C498" s="10"/>
      <c r="D498" s="13"/>
      <c r="E498" s="10"/>
    </row>
    <row r="499" spans="1:5" x14ac:dyDescent="0.25">
      <c r="A499" s="7"/>
      <c r="B499" s="10"/>
      <c r="C499" s="10"/>
      <c r="D499" s="13"/>
      <c r="E499" s="10"/>
    </row>
    <row r="500" spans="1:5" x14ac:dyDescent="0.25">
      <c r="A500" s="7"/>
      <c r="B500" s="10"/>
      <c r="C500" s="10"/>
      <c r="D500" s="13"/>
      <c r="E500" s="10"/>
    </row>
    <row r="501" spans="1:5" x14ac:dyDescent="0.25">
      <c r="A501" s="7"/>
      <c r="B501" s="10"/>
      <c r="C501" s="10"/>
      <c r="D501" s="13"/>
      <c r="E501" s="10"/>
    </row>
    <row r="502" spans="1:5" x14ac:dyDescent="0.25">
      <c r="A502" s="7"/>
      <c r="B502" s="10"/>
      <c r="C502" s="10"/>
      <c r="D502" s="13"/>
      <c r="E502" s="10"/>
    </row>
    <row r="503" spans="1:5" x14ac:dyDescent="0.25">
      <c r="A503" s="7"/>
      <c r="B503" s="10"/>
      <c r="C503" s="10"/>
      <c r="D503" s="13"/>
      <c r="E503" s="10"/>
    </row>
    <row r="504" spans="1:5" x14ac:dyDescent="0.25">
      <c r="A504" s="7"/>
      <c r="B504" s="10"/>
      <c r="C504" s="10"/>
      <c r="D504" s="13"/>
      <c r="E504" s="10"/>
    </row>
    <row r="505" spans="1:5" x14ac:dyDescent="0.25">
      <c r="A505" s="7"/>
      <c r="B505" s="10"/>
      <c r="C505" s="10"/>
      <c r="D505" s="13"/>
      <c r="E505" s="10"/>
    </row>
  </sheetData>
  <autoFilter ref="A5:E505"/>
  <mergeCells count="1">
    <mergeCell ref="A2:E2"/>
  </mergeCells>
  <dataValidations count="1">
    <dataValidation type="list" allowBlank="1" showErrorMessage="1" errorTitle="Pick from the list" error="Choose one of the options in the drop-down (set on the Setup tab)." sqref="C6:C505">
      <formula1>IncomeTypes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FBF8F"/>
  </sheetPr>
  <dimension ref="A1:G100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44" customWidth="1"/>
    <col min="4" max="4" width="14" customWidth="1"/>
    <col min="5" max="5" width="12" customWidth="1"/>
    <col min="6" max="6" width="14" customWidth="1"/>
    <col min="7" max="7" width="32" customWidth="1"/>
  </cols>
  <sheetData>
    <row r="1" ht="24" customHeight="1" spans="1:1" x14ac:dyDescent="0.25">
      <c r="A1" s="1" t="s">
        <v>120</v>
      </c>
    </row>
    <row r="2" ht="28" customHeight="1" spans="1:7" x14ac:dyDescent="0.25">
      <c r="A2" s="2" t="s">
        <v>121</v>
      </c>
      <c r="B2" s="2"/>
      <c r="C2" s="2"/>
      <c r="D2" s="2"/>
      <c r="E2" s="2"/>
      <c r="F2" s="2"/>
      <c r="G2" s="2"/>
    </row>
    <row r="3" spans="5:6" x14ac:dyDescent="0.25">
      <c r="E3" s="6" t="s">
        <v>112</v>
      </c>
      <c r="F3" s="16">
        <f>SUM(F6:F1005)</f>
      </c>
    </row>
    <row r="5" ht="30" customHeight="1" spans="1:7" x14ac:dyDescent="0.25">
      <c r="A5" s="5" t="s">
        <v>113</v>
      </c>
      <c r="B5" s="5" t="s">
        <v>122</v>
      </c>
      <c r="C5" s="5" t="s">
        <v>123</v>
      </c>
      <c r="D5" s="5" t="s">
        <v>124</v>
      </c>
      <c r="E5" s="5" t="s">
        <v>125</v>
      </c>
      <c r="F5" s="5" t="s">
        <v>126</v>
      </c>
      <c r="G5" s="5" t="s">
        <v>127</v>
      </c>
    </row>
    <row r="6" spans="1:7" x14ac:dyDescent="0.25">
      <c r="A6" s="7">
        <v>46132</v>
      </c>
      <c r="B6" s="10" t="s">
        <v>128</v>
      </c>
      <c r="C6" s="10" t="s">
        <v>90</v>
      </c>
      <c r="D6" s="13">
        <v>30</v>
      </c>
      <c r="E6" s="17">
        <v>0.6</v>
      </c>
      <c r="F6" s="18">
        <f>IF(D6="","",D6*IF(E6="",1,E6))</f>
      </c>
      <c r="G6" s="10" t="s">
        <v>129</v>
      </c>
    </row>
    <row r="7" spans="1:7" x14ac:dyDescent="0.25">
      <c r="A7" s="7"/>
      <c r="B7" s="10"/>
      <c r="C7" s="10"/>
      <c r="D7" s="13"/>
      <c r="E7" s="17"/>
      <c r="F7" s="18">
        <f>IF(D7="","",D7*IF(E7="",1,E7))</f>
      </c>
      <c r="G7" s="10"/>
    </row>
    <row r="8" spans="1:7" x14ac:dyDescent="0.25">
      <c r="A8" s="7"/>
      <c r="B8" s="10"/>
      <c r="C8" s="10"/>
      <c r="D8" s="13"/>
      <c r="E8" s="17"/>
      <c r="F8" s="18">
        <f>IF(D8="","",D8*IF(E8="",1,E8))</f>
      </c>
      <c r="G8" s="10"/>
    </row>
    <row r="9" spans="1:7" x14ac:dyDescent="0.25">
      <c r="A9" s="7"/>
      <c r="B9" s="10"/>
      <c r="C9" s="10"/>
      <c r="D9" s="13"/>
      <c r="E9" s="17"/>
      <c r="F9" s="18">
        <f>IF(D9="","",D9*IF(E9="",1,E9))</f>
      </c>
      <c r="G9" s="10"/>
    </row>
    <row r="10" spans="1:7" x14ac:dyDescent="0.25">
      <c r="A10" s="7"/>
      <c r="B10" s="10"/>
      <c r="C10" s="10"/>
      <c r="D10" s="13"/>
      <c r="E10" s="17"/>
      <c r="F10" s="18">
        <f>IF(D10="","",D10*IF(E10="",1,E10))</f>
      </c>
      <c r="G10" s="10"/>
    </row>
    <row r="11" spans="1:7" x14ac:dyDescent="0.25">
      <c r="A11" s="7"/>
      <c r="B11" s="10"/>
      <c r="C11" s="10"/>
      <c r="D11" s="13"/>
      <c r="E11" s="17"/>
      <c r="F11" s="18">
        <f>IF(D11="","",D11*IF(E11="",1,E11))</f>
      </c>
      <c r="G11" s="10"/>
    </row>
    <row r="12" spans="1:7" x14ac:dyDescent="0.25">
      <c r="A12" s="7"/>
      <c r="B12" s="10"/>
      <c r="C12" s="10"/>
      <c r="D12" s="13"/>
      <c r="E12" s="17"/>
      <c r="F12" s="18">
        <f>IF(D12="","",D12*IF(E12="",1,E12))</f>
      </c>
      <c r="G12" s="10"/>
    </row>
    <row r="13" spans="1:7" x14ac:dyDescent="0.25">
      <c r="A13" s="7"/>
      <c r="B13" s="10"/>
      <c r="C13" s="10"/>
      <c r="D13" s="13"/>
      <c r="E13" s="17"/>
      <c r="F13" s="18">
        <f>IF(D13="","",D13*IF(E13="",1,E13))</f>
      </c>
      <c r="G13" s="10"/>
    </row>
    <row r="14" spans="1:7" x14ac:dyDescent="0.25">
      <c r="A14" s="7"/>
      <c r="B14" s="10"/>
      <c r="C14" s="10"/>
      <c r="D14" s="13"/>
      <c r="E14" s="17"/>
      <c r="F14" s="18">
        <f>IF(D14="","",D14*IF(E14="",1,E14))</f>
      </c>
      <c r="G14" s="10"/>
    </row>
    <row r="15" spans="1:7" x14ac:dyDescent="0.25">
      <c r="A15" s="7"/>
      <c r="B15" s="10"/>
      <c r="C15" s="10"/>
      <c r="D15" s="13"/>
      <c r="E15" s="17"/>
      <c r="F15" s="18">
        <f>IF(D15="","",D15*IF(E15="",1,E15))</f>
      </c>
      <c r="G15" s="10"/>
    </row>
    <row r="16" spans="1:7" x14ac:dyDescent="0.25">
      <c r="A16" s="7"/>
      <c r="B16" s="10"/>
      <c r="C16" s="10"/>
      <c r="D16" s="13"/>
      <c r="E16" s="17"/>
      <c r="F16" s="18">
        <f>IF(D16="","",D16*IF(E16="",1,E16))</f>
      </c>
      <c r="G16" s="10"/>
    </row>
    <row r="17" spans="1:7" x14ac:dyDescent="0.25">
      <c r="A17" s="7"/>
      <c r="B17" s="10"/>
      <c r="C17" s="10"/>
      <c r="D17" s="13"/>
      <c r="E17" s="17"/>
      <c r="F17" s="18">
        <f>IF(D17="","",D17*IF(E17="",1,E17))</f>
      </c>
      <c r="G17" s="10"/>
    </row>
    <row r="18" spans="1:7" x14ac:dyDescent="0.25">
      <c r="A18" s="7"/>
      <c r="B18" s="10"/>
      <c r="C18" s="10"/>
      <c r="D18" s="13"/>
      <c r="E18" s="17"/>
      <c r="F18" s="18">
        <f>IF(D18="","",D18*IF(E18="",1,E18))</f>
      </c>
      <c r="G18" s="10"/>
    </row>
    <row r="19" spans="1:7" x14ac:dyDescent="0.25">
      <c r="A19" s="7"/>
      <c r="B19" s="10"/>
      <c r="C19" s="10"/>
      <c r="D19" s="13"/>
      <c r="E19" s="17"/>
      <c r="F19" s="18">
        <f>IF(D19="","",D19*IF(E19="",1,E19))</f>
      </c>
      <c r="G19" s="10"/>
    </row>
    <row r="20" spans="1:7" x14ac:dyDescent="0.25">
      <c r="A20" s="7"/>
      <c r="B20" s="10"/>
      <c r="C20" s="10"/>
      <c r="D20" s="13"/>
      <c r="E20" s="17"/>
      <c r="F20" s="18">
        <f>IF(D20="","",D20*IF(E20="",1,E20))</f>
      </c>
      <c r="G20" s="10"/>
    </row>
    <row r="21" spans="1:7" x14ac:dyDescent="0.25">
      <c r="A21" s="7"/>
      <c r="B21" s="10"/>
      <c r="C21" s="10"/>
      <c r="D21" s="13"/>
      <c r="E21" s="17"/>
      <c r="F21" s="18">
        <f>IF(D21="","",D21*IF(E21="",1,E21))</f>
      </c>
      <c r="G21" s="10"/>
    </row>
    <row r="22" spans="1:7" x14ac:dyDescent="0.25">
      <c r="A22" s="7"/>
      <c r="B22" s="10"/>
      <c r="C22" s="10"/>
      <c r="D22" s="13"/>
      <c r="E22" s="17"/>
      <c r="F22" s="18">
        <f>IF(D22="","",D22*IF(E22="",1,E22))</f>
      </c>
      <c r="G22" s="10"/>
    </row>
    <row r="23" spans="1:7" x14ac:dyDescent="0.25">
      <c r="A23" s="7"/>
      <c r="B23" s="10"/>
      <c r="C23" s="10"/>
      <c r="D23" s="13"/>
      <c r="E23" s="17"/>
      <c r="F23" s="18">
        <f>IF(D23="","",D23*IF(E23="",1,E23))</f>
      </c>
      <c r="G23" s="10"/>
    </row>
    <row r="24" spans="1:7" x14ac:dyDescent="0.25">
      <c r="A24" s="7"/>
      <c r="B24" s="10"/>
      <c r="C24" s="10"/>
      <c r="D24" s="13"/>
      <c r="E24" s="17"/>
      <c r="F24" s="18">
        <f>IF(D24="","",D24*IF(E24="",1,E24))</f>
      </c>
      <c r="G24" s="10"/>
    </row>
    <row r="25" spans="1:7" x14ac:dyDescent="0.25">
      <c r="A25" s="7"/>
      <c r="B25" s="10"/>
      <c r="C25" s="10"/>
      <c r="D25" s="13"/>
      <c r="E25" s="17"/>
      <c r="F25" s="18">
        <f>IF(D25="","",D25*IF(E25="",1,E25))</f>
      </c>
      <c r="G25" s="10"/>
    </row>
    <row r="26" spans="1:7" x14ac:dyDescent="0.25">
      <c r="A26" s="7"/>
      <c r="B26" s="10"/>
      <c r="C26" s="10"/>
      <c r="D26" s="13"/>
      <c r="E26" s="17"/>
      <c r="F26" s="18">
        <f>IF(D26="","",D26*IF(E26="",1,E26))</f>
      </c>
      <c r="G26" s="10"/>
    </row>
    <row r="27" spans="1:7" x14ac:dyDescent="0.25">
      <c r="A27" s="7"/>
      <c r="B27" s="10"/>
      <c r="C27" s="10"/>
      <c r="D27" s="13"/>
      <c r="E27" s="17"/>
      <c r="F27" s="18">
        <f>IF(D27="","",D27*IF(E27="",1,E27))</f>
      </c>
      <c r="G27" s="10"/>
    </row>
    <row r="28" spans="1:7" x14ac:dyDescent="0.25">
      <c r="A28" s="7"/>
      <c r="B28" s="10"/>
      <c r="C28" s="10"/>
      <c r="D28" s="13"/>
      <c r="E28" s="17"/>
      <c r="F28" s="18">
        <f>IF(D28="","",D28*IF(E28="",1,E28))</f>
      </c>
      <c r="G28" s="10"/>
    </row>
    <row r="29" spans="1:7" x14ac:dyDescent="0.25">
      <c r="A29" s="7"/>
      <c r="B29" s="10"/>
      <c r="C29" s="10"/>
      <c r="D29" s="13"/>
      <c r="E29" s="17"/>
      <c r="F29" s="18">
        <f>IF(D29="","",D29*IF(E29="",1,E29))</f>
      </c>
      <c r="G29" s="10"/>
    </row>
    <row r="30" spans="1:7" x14ac:dyDescent="0.25">
      <c r="A30" s="7"/>
      <c r="B30" s="10"/>
      <c r="C30" s="10"/>
      <c r="D30" s="13"/>
      <c r="E30" s="17"/>
      <c r="F30" s="18">
        <f>IF(D30="","",D30*IF(E30="",1,E30))</f>
      </c>
      <c r="G30" s="10"/>
    </row>
    <row r="31" spans="1:7" x14ac:dyDescent="0.25">
      <c r="A31" s="7"/>
      <c r="B31" s="10"/>
      <c r="C31" s="10"/>
      <c r="D31" s="13"/>
      <c r="E31" s="17"/>
      <c r="F31" s="18">
        <f>IF(D31="","",D31*IF(E31="",1,E31))</f>
      </c>
      <c r="G31" s="10"/>
    </row>
    <row r="32" spans="1:7" x14ac:dyDescent="0.25">
      <c r="A32" s="7"/>
      <c r="B32" s="10"/>
      <c r="C32" s="10"/>
      <c r="D32" s="13"/>
      <c r="E32" s="17"/>
      <c r="F32" s="18">
        <f>IF(D32="","",D32*IF(E32="",1,E32))</f>
      </c>
      <c r="G32" s="10"/>
    </row>
    <row r="33" spans="1:7" x14ac:dyDescent="0.25">
      <c r="A33" s="7"/>
      <c r="B33" s="10"/>
      <c r="C33" s="10"/>
      <c r="D33" s="13"/>
      <c r="E33" s="17"/>
      <c r="F33" s="18">
        <f>IF(D33="","",D33*IF(E33="",1,E33))</f>
      </c>
      <c r="G33" s="10"/>
    </row>
    <row r="34" spans="1:7" x14ac:dyDescent="0.25">
      <c r="A34" s="7"/>
      <c r="B34" s="10"/>
      <c r="C34" s="10"/>
      <c r="D34" s="13"/>
      <c r="E34" s="17"/>
      <c r="F34" s="18">
        <f>IF(D34="","",D34*IF(E34="",1,E34))</f>
      </c>
      <c r="G34" s="10"/>
    </row>
    <row r="35" spans="1:7" x14ac:dyDescent="0.25">
      <c r="A35" s="7"/>
      <c r="B35" s="10"/>
      <c r="C35" s="10"/>
      <c r="D35" s="13"/>
      <c r="E35" s="17"/>
      <c r="F35" s="18">
        <f>IF(D35="","",D35*IF(E35="",1,E35))</f>
      </c>
      <c r="G35" s="10"/>
    </row>
    <row r="36" spans="1:7" x14ac:dyDescent="0.25">
      <c r="A36" s="7"/>
      <c r="B36" s="10"/>
      <c r="C36" s="10"/>
      <c r="D36" s="13"/>
      <c r="E36" s="17"/>
      <c r="F36" s="18">
        <f>IF(D36="","",D36*IF(E36="",1,E36))</f>
      </c>
      <c r="G36" s="10"/>
    </row>
    <row r="37" spans="1:7" x14ac:dyDescent="0.25">
      <c r="A37" s="7"/>
      <c r="B37" s="10"/>
      <c r="C37" s="10"/>
      <c r="D37" s="13"/>
      <c r="E37" s="17"/>
      <c r="F37" s="18">
        <f>IF(D37="","",D37*IF(E37="",1,E37))</f>
      </c>
      <c r="G37" s="10"/>
    </row>
    <row r="38" spans="1:7" x14ac:dyDescent="0.25">
      <c r="A38" s="7"/>
      <c r="B38" s="10"/>
      <c r="C38" s="10"/>
      <c r="D38" s="13"/>
      <c r="E38" s="17"/>
      <c r="F38" s="18">
        <f>IF(D38="","",D38*IF(E38="",1,E38))</f>
      </c>
      <c r="G38" s="10"/>
    </row>
    <row r="39" spans="1:7" x14ac:dyDescent="0.25">
      <c r="A39" s="7"/>
      <c r="B39" s="10"/>
      <c r="C39" s="10"/>
      <c r="D39" s="13"/>
      <c r="E39" s="17"/>
      <c r="F39" s="18">
        <f>IF(D39="","",D39*IF(E39="",1,E39))</f>
      </c>
      <c r="G39" s="10"/>
    </row>
    <row r="40" spans="1:7" x14ac:dyDescent="0.25">
      <c r="A40" s="7"/>
      <c r="B40" s="10"/>
      <c r="C40" s="10"/>
      <c r="D40" s="13"/>
      <c r="E40" s="17"/>
      <c r="F40" s="18">
        <f>IF(D40="","",D40*IF(E40="",1,E40))</f>
      </c>
      <c r="G40" s="10"/>
    </row>
    <row r="41" spans="1:7" x14ac:dyDescent="0.25">
      <c r="A41" s="7"/>
      <c r="B41" s="10"/>
      <c r="C41" s="10"/>
      <c r="D41" s="13"/>
      <c r="E41" s="17"/>
      <c r="F41" s="18">
        <f>IF(D41="","",D41*IF(E41="",1,E41))</f>
      </c>
      <c r="G41" s="10"/>
    </row>
    <row r="42" spans="1:7" x14ac:dyDescent="0.25">
      <c r="A42" s="7"/>
      <c r="B42" s="10"/>
      <c r="C42" s="10"/>
      <c r="D42" s="13"/>
      <c r="E42" s="17"/>
      <c r="F42" s="18">
        <f>IF(D42="","",D42*IF(E42="",1,E42))</f>
      </c>
      <c r="G42" s="10"/>
    </row>
    <row r="43" spans="1:7" x14ac:dyDescent="0.25">
      <c r="A43" s="7"/>
      <c r="B43" s="10"/>
      <c r="C43" s="10"/>
      <c r="D43" s="13"/>
      <c r="E43" s="17"/>
      <c r="F43" s="18">
        <f>IF(D43="","",D43*IF(E43="",1,E43))</f>
      </c>
      <c r="G43" s="10"/>
    </row>
    <row r="44" spans="1:7" x14ac:dyDescent="0.25">
      <c r="A44" s="7"/>
      <c r="B44" s="10"/>
      <c r="C44" s="10"/>
      <c r="D44" s="13"/>
      <c r="E44" s="17"/>
      <c r="F44" s="18">
        <f>IF(D44="","",D44*IF(E44="",1,E44))</f>
      </c>
      <c r="G44" s="10"/>
    </row>
    <row r="45" spans="1:7" x14ac:dyDescent="0.25">
      <c r="A45" s="7"/>
      <c r="B45" s="10"/>
      <c r="C45" s="10"/>
      <c r="D45" s="13"/>
      <c r="E45" s="17"/>
      <c r="F45" s="18">
        <f>IF(D45="","",D45*IF(E45="",1,E45))</f>
      </c>
      <c r="G45" s="10"/>
    </row>
    <row r="46" spans="1:7" x14ac:dyDescent="0.25">
      <c r="A46" s="7"/>
      <c r="B46" s="10"/>
      <c r="C46" s="10"/>
      <c r="D46" s="13"/>
      <c r="E46" s="17"/>
      <c r="F46" s="18">
        <f>IF(D46="","",D46*IF(E46="",1,E46))</f>
      </c>
      <c r="G46" s="10"/>
    </row>
    <row r="47" spans="1:7" x14ac:dyDescent="0.25">
      <c r="A47" s="7"/>
      <c r="B47" s="10"/>
      <c r="C47" s="10"/>
      <c r="D47" s="13"/>
      <c r="E47" s="17"/>
      <c r="F47" s="18">
        <f>IF(D47="","",D47*IF(E47="",1,E47))</f>
      </c>
      <c r="G47" s="10"/>
    </row>
    <row r="48" spans="1:7" x14ac:dyDescent="0.25">
      <c r="A48" s="7"/>
      <c r="B48" s="10"/>
      <c r="C48" s="10"/>
      <c r="D48" s="13"/>
      <c r="E48" s="17"/>
      <c r="F48" s="18">
        <f>IF(D48="","",D48*IF(E48="",1,E48))</f>
      </c>
      <c r="G48" s="10"/>
    </row>
    <row r="49" spans="1:7" x14ac:dyDescent="0.25">
      <c r="A49" s="7"/>
      <c r="B49" s="10"/>
      <c r="C49" s="10"/>
      <c r="D49" s="13"/>
      <c r="E49" s="17"/>
      <c r="F49" s="18">
        <f>IF(D49="","",D49*IF(E49="",1,E49))</f>
      </c>
      <c r="G49" s="10"/>
    </row>
    <row r="50" spans="1:7" x14ac:dyDescent="0.25">
      <c r="A50" s="7"/>
      <c r="B50" s="10"/>
      <c r="C50" s="10"/>
      <c r="D50" s="13"/>
      <c r="E50" s="17"/>
      <c r="F50" s="18">
        <f>IF(D50="","",D50*IF(E50="",1,E50))</f>
      </c>
      <c r="G50" s="10"/>
    </row>
    <row r="51" spans="1:7" x14ac:dyDescent="0.25">
      <c r="A51" s="7"/>
      <c r="B51" s="10"/>
      <c r="C51" s="10"/>
      <c r="D51" s="13"/>
      <c r="E51" s="17"/>
      <c r="F51" s="18">
        <f>IF(D51="","",D51*IF(E51="",1,E51))</f>
      </c>
      <c r="G51" s="10"/>
    </row>
    <row r="52" spans="1:7" x14ac:dyDescent="0.25">
      <c r="A52" s="7"/>
      <c r="B52" s="10"/>
      <c r="C52" s="10"/>
      <c r="D52" s="13"/>
      <c r="E52" s="17"/>
      <c r="F52" s="18">
        <f>IF(D52="","",D52*IF(E52="",1,E52))</f>
      </c>
      <c r="G52" s="10"/>
    </row>
    <row r="53" spans="1:7" x14ac:dyDescent="0.25">
      <c r="A53" s="7"/>
      <c r="B53" s="10"/>
      <c r="C53" s="10"/>
      <c r="D53" s="13"/>
      <c r="E53" s="17"/>
      <c r="F53" s="18">
        <f>IF(D53="","",D53*IF(E53="",1,E53))</f>
      </c>
      <c r="G53" s="10"/>
    </row>
    <row r="54" spans="1:7" x14ac:dyDescent="0.25">
      <c r="A54" s="7"/>
      <c r="B54" s="10"/>
      <c r="C54" s="10"/>
      <c r="D54" s="13"/>
      <c r="E54" s="17"/>
      <c r="F54" s="18">
        <f>IF(D54="","",D54*IF(E54="",1,E54))</f>
      </c>
      <c r="G54" s="10"/>
    </row>
    <row r="55" spans="1:7" x14ac:dyDescent="0.25">
      <c r="A55" s="7"/>
      <c r="B55" s="10"/>
      <c r="C55" s="10"/>
      <c r="D55" s="13"/>
      <c r="E55" s="17"/>
      <c r="F55" s="18">
        <f>IF(D55="","",D55*IF(E55="",1,E55))</f>
      </c>
      <c r="G55" s="10"/>
    </row>
    <row r="56" spans="1:7" x14ac:dyDescent="0.25">
      <c r="A56" s="7"/>
      <c r="B56" s="10"/>
      <c r="C56" s="10"/>
      <c r="D56" s="13"/>
      <c r="E56" s="17"/>
      <c r="F56" s="18">
        <f>IF(D56="","",D56*IF(E56="",1,E56))</f>
      </c>
      <c r="G56" s="10"/>
    </row>
    <row r="57" spans="1:7" x14ac:dyDescent="0.25">
      <c r="A57" s="7"/>
      <c r="B57" s="10"/>
      <c r="C57" s="10"/>
      <c r="D57" s="13"/>
      <c r="E57" s="17"/>
      <c r="F57" s="18">
        <f>IF(D57="","",D57*IF(E57="",1,E57))</f>
      </c>
      <c r="G57" s="10"/>
    </row>
    <row r="58" spans="1:7" x14ac:dyDescent="0.25">
      <c r="A58" s="7"/>
      <c r="B58" s="10"/>
      <c r="C58" s="10"/>
      <c r="D58" s="13"/>
      <c r="E58" s="17"/>
      <c r="F58" s="18">
        <f>IF(D58="","",D58*IF(E58="",1,E58))</f>
      </c>
      <c r="G58" s="10"/>
    </row>
    <row r="59" spans="1:7" x14ac:dyDescent="0.25">
      <c r="A59" s="7"/>
      <c r="B59" s="10"/>
      <c r="C59" s="10"/>
      <c r="D59" s="13"/>
      <c r="E59" s="17"/>
      <c r="F59" s="18">
        <f>IF(D59="","",D59*IF(E59="",1,E59))</f>
      </c>
      <c r="G59" s="10"/>
    </row>
    <row r="60" spans="1:7" x14ac:dyDescent="0.25">
      <c r="A60" s="7"/>
      <c r="B60" s="10"/>
      <c r="C60" s="10"/>
      <c r="D60" s="13"/>
      <c r="E60" s="17"/>
      <c r="F60" s="18">
        <f>IF(D60="","",D60*IF(E60="",1,E60))</f>
      </c>
      <c r="G60" s="10"/>
    </row>
    <row r="61" spans="1:7" x14ac:dyDescent="0.25">
      <c r="A61" s="7"/>
      <c r="B61" s="10"/>
      <c r="C61" s="10"/>
      <c r="D61" s="13"/>
      <c r="E61" s="17"/>
      <c r="F61" s="18">
        <f>IF(D61="","",D61*IF(E61="",1,E61))</f>
      </c>
      <c r="G61" s="10"/>
    </row>
    <row r="62" spans="1:7" x14ac:dyDescent="0.25">
      <c r="A62" s="7"/>
      <c r="B62" s="10"/>
      <c r="C62" s="10"/>
      <c r="D62" s="13"/>
      <c r="E62" s="17"/>
      <c r="F62" s="18">
        <f>IF(D62="","",D62*IF(E62="",1,E62))</f>
      </c>
      <c r="G62" s="10"/>
    </row>
    <row r="63" spans="1:7" x14ac:dyDescent="0.25">
      <c r="A63" s="7"/>
      <c r="B63" s="10"/>
      <c r="C63" s="10"/>
      <c r="D63" s="13"/>
      <c r="E63" s="17"/>
      <c r="F63" s="18">
        <f>IF(D63="","",D63*IF(E63="",1,E63))</f>
      </c>
      <c r="G63" s="10"/>
    </row>
    <row r="64" spans="1:7" x14ac:dyDescent="0.25">
      <c r="A64" s="7"/>
      <c r="B64" s="10"/>
      <c r="C64" s="10"/>
      <c r="D64" s="13"/>
      <c r="E64" s="17"/>
      <c r="F64" s="18">
        <f>IF(D64="","",D64*IF(E64="",1,E64))</f>
      </c>
      <c r="G64" s="10"/>
    </row>
    <row r="65" spans="1:7" x14ac:dyDescent="0.25">
      <c r="A65" s="7"/>
      <c r="B65" s="10"/>
      <c r="C65" s="10"/>
      <c r="D65" s="13"/>
      <c r="E65" s="17"/>
      <c r="F65" s="18">
        <f>IF(D65="","",D65*IF(E65="",1,E65))</f>
      </c>
      <c r="G65" s="10"/>
    </row>
    <row r="66" spans="1:7" x14ac:dyDescent="0.25">
      <c r="A66" s="7"/>
      <c r="B66" s="10"/>
      <c r="C66" s="10"/>
      <c r="D66" s="13"/>
      <c r="E66" s="17"/>
      <c r="F66" s="18">
        <f>IF(D66="","",D66*IF(E66="",1,E66))</f>
      </c>
      <c r="G66" s="10"/>
    </row>
    <row r="67" spans="1:7" x14ac:dyDescent="0.25">
      <c r="A67" s="7"/>
      <c r="B67" s="10"/>
      <c r="C67" s="10"/>
      <c r="D67" s="13"/>
      <c r="E67" s="17"/>
      <c r="F67" s="18">
        <f>IF(D67="","",D67*IF(E67="",1,E67))</f>
      </c>
      <c r="G67" s="10"/>
    </row>
    <row r="68" spans="1:7" x14ac:dyDescent="0.25">
      <c r="A68" s="7"/>
      <c r="B68" s="10"/>
      <c r="C68" s="10"/>
      <c r="D68" s="13"/>
      <c r="E68" s="17"/>
      <c r="F68" s="18">
        <f>IF(D68="","",D68*IF(E68="",1,E68))</f>
      </c>
      <c r="G68" s="10"/>
    </row>
    <row r="69" spans="1:7" x14ac:dyDescent="0.25">
      <c r="A69" s="7"/>
      <c r="B69" s="10"/>
      <c r="C69" s="10"/>
      <c r="D69" s="13"/>
      <c r="E69" s="17"/>
      <c r="F69" s="18">
        <f>IF(D69="","",D69*IF(E69="",1,E69))</f>
      </c>
      <c r="G69" s="10"/>
    </row>
    <row r="70" spans="1:7" x14ac:dyDescent="0.25">
      <c r="A70" s="7"/>
      <c r="B70" s="10"/>
      <c r="C70" s="10"/>
      <c r="D70" s="13"/>
      <c r="E70" s="17"/>
      <c r="F70" s="18">
        <f>IF(D70="","",D70*IF(E70="",1,E70))</f>
      </c>
      <c r="G70" s="10"/>
    </row>
    <row r="71" spans="1:7" x14ac:dyDescent="0.25">
      <c r="A71" s="7"/>
      <c r="B71" s="10"/>
      <c r="C71" s="10"/>
      <c r="D71" s="13"/>
      <c r="E71" s="17"/>
      <c r="F71" s="18">
        <f>IF(D71="","",D71*IF(E71="",1,E71))</f>
      </c>
      <c r="G71" s="10"/>
    </row>
    <row r="72" spans="1:7" x14ac:dyDescent="0.25">
      <c r="A72" s="7"/>
      <c r="B72" s="10"/>
      <c r="C72" s="10"/>
      <c r="D72" s="13"/>
      <c r="E72" s="17"/>
      <c r="F72" s="18">
        <f>IF(D72="","",D72*IF(E72="",1,E72))</f>
      </c>
      <c r="G72" s="10"/>
    </row>
    <row r="73" spans="1:7" x14ac:dyDescent="0.25">
      <c r="A73" s="7"/>
      <c r="B73" s="10"/>
      <c r="C73" s="10"/>
      <c r="D73" s="13"/>
      <c r="E73" s="17"/>
      <c r="F73" s="18">
        <f>IF(D73="","",D73*IF(E73="",1,E73))</f>
      </c>
      <c r="G73" s="10"/>
    </row>
    <row r="74" spans="1:7" x14ac:dyDescent="0.25">
      <c r="A74" s="7"/>
      <c r="B74" s="10"/>
      <c r="C74" s="10"/>
      <c r="D74" s="13"/>
      <c r="E74" s="17"/>
      <c r="F74" s="18">
        <f>IF(D74="","",D74*IF(E74="",1,E74))</f>
      </c>
      <c r="G74" s="10"/>
    </row>
    <row r="75" spans="1:7" x14ac:dyDescent="0.25">
      <c r="A75" s="7"/>
      <c r="B75" s="10"/>
      <c r="C75" s="10"/>
      <c r="D75" s="13"/>
      <c r="E75" s="17"/>
      <c r="F75" s="18">
        <f>IF(D75="","",D75*IF(E75="",1,E75))</f>
      </c>
      <c r="G75" s="10"/>
    </row>
    <row r="76" spans="1:7" x14ac:dyDescent="0.25">
      <c r="A76" s="7"/>
      <c r="B76" s="10"/>
      <c r="C76" s="10"/>
      <c r="D76" s="13"/>
      <c r="E76" s="17"/>
      <c r="F76" s="18">
        <f>IF(D76="","",D76*IF(E76="",1,E76))</f>
      </c>
      <c r="G76" s="10"/>
    </row>
    <row r="77" spans="1:7" x14ac:dyDescent="0.25">
      <c r="A77" s="7"/>
      <c r="B77" s="10"/>
      <c r="C77" s="10"/>
      <c r="D77" s="13"/>
      <c r="E77" s="17"/>
      <c r="F77" s="18">
        <f>IF(D77="","",D77*IF(E77="",1,E77))</f>
      </c>
      <c r="G77" s="10"/>
    </row>
    <row r="78" spans="1:7" x14ac:dyDescent="0.25">
      <c r="A78" s="7"/>
      <c r="B78" s="10"/>
      <c r="C78" s="10"/>
      <c r="D78" s="13"/>
      <c r="E78" s="17"/>
      <c r="F78" s="18">
        <f>IF(D78="","",D78*IF(E78="",1,E78))</f>
      </c>
      <c r="G78" s="10"/>
    </row>
    <row r="79" spans="1:7" x14ac:dyDescent="0.25">
      <c r="A79" s="7"/>
      <c r="B79" s="10"/>
      <c r="C79" s="10"/>
      <c r="D79" s="13"/>
      <c r="E79" s="17"/>
      <c r="F79" s="18">
        <f>IF(D79="","",D79*IF(E79="",1,E79))</f>
      </c>
      <c r="G79" s="10"/>
    </row>
    <row r="80" spans="1:7" x14ac:dyDescent="0.25">
      <c r="A80" s="7"/>
      <c r="B80" s="10"/>
      <c r="C80" s="10"/>
      <c r="D80" s="13"/>
      <c r="E80" s="17"/>
      <c r="F80" s="18">
        <f>IF(D80="","",D80*IF(E80="",1,E80))</f>
      </c>
      <c r="G80" s="10"/>
    </row>
    <row r="81" spans="1:7" x14ac:dyDescent="0.25">
      <c r="A81" s="7"/>
      <c r="B81" s="10"/>
      <c r="C81" s="10"/>
      <c r="D81" s="13"/>
      <c r="E81" s="17"/>
      <c r="F81" s="18">
        <f>IF(D81="","",D81*IF(E81="",1,E81))</f>
      </c>
      <c r="G81" s="10"/>
    </row>
    <row r="82" spans="1:7" x14ac:dyDescent="0.25">
      <c r="A82" s="7"/>
      <c r="B82" s="10"/>
      <c r="C82" s="10"/>
      <c r="D82" s="13"/>
      <c r="E82" s="17"/>
      <c r="F82" s="18">
        <f>IF(D82="","",D82*IF(E82="",1,E82))</f>
      </c>
      <c r="G82" s="10"/>
    </row>
    <row r="83" spans="1:7" x14ac:dyDescent="0.25">
      <c r="A83" s="7"/>
      <c r="B83" s="10"/>
      <c r="C83" s="10"/>
      <c r="D83" s="13"/>
      <c r="E83" s="17"/>
      <c r="F83" s="18">
        <f>IF(D83="","",D83*IF(E83="",1,E83))</f>
      </c>
      <c r="G83" s="10"/>
    </row>
    <row r="84" spans="1:7" x14ac:dyDescent="0.25">
      <c r="A84" s="7"/>
      <c r="B84" s="10"/>
      <c r="C84" s="10"/>
      <c r="D84" s="13"/>
      <c r="E84" s="17"/>
      <c r="F84" s="18">
        <f>IF(D84="","",D84*IF(E84="",1,E84))</f>
      </c>
      <c r="G84" s="10"/>
    </row>
    <row r="85" spans="1:7" x14ac:dyDescent="0.25">
      <c r="A85" s="7"/>
      <c r="B85" s="10"/>
      <c r="C85" s="10"/>
      <c r="D85" s="13"/>
      <c r="E85" s="17"/>
      <c r="F85" s="18">
        <f>IF(D85="","",D85*IF(E85="",1,E85))</f>
      </c>
      <c r="G85" s="10"/>
    </row>
    <row r="86" spans="1:7" x14ac:dyDescent="0.25">
      <c r="A86" s="7"/>
      <c r="B86" s="10"/>
      <c r="C86" s="10"/>
      <c r="D86" s="13"/>
      <c r="E86" s="17"/>
      <c r="F86" s="18">
        <f>IF(D86="","",D86*IF(E86="",1,E86))</f>
      </c>
      <c r="G86" s="10"/>
    </row>
    <row r="87" spans="1:7" x14ac:dyDescent="0.25">
      <c r="A87" s="7"/>
      <c r="B87" s="10"/>
      <c r="C87" s="10"/>
      <c r="D87" s="13"/>
      <c r="E87" s="17"/>
      <c r="F87" s="18">
        <f>IF(D87="","",D87*IF(E87="",1,E87))</f>
      </c>
      <c r="G87" s="10"/>
    </row>
    <row r="88" spans="1:7" x14ac:dyDescent="0.25">
      <c r="A88" s="7"/>
      <c r="B88" s="10"/>
      <c r="C88" s="10"/>
      <c r="D88" s="13"/>
      <c r="E88" s="17"/>
      <c r="F88" s="18">
        <f>IF(D88="","",D88*IF(E88="",1,E88))</f>
      </c>
      <c r="G88" s="10"/>
    </row>
    <row r="89" spans="1:7" x14ac:dyDescent="0.25">
      <c r="A89" s="7"/>
      <c r="B89" s="10"/>
      <c r="C89" s="10"/>
      <c r="D89" s="13"/>
      <c r="E89" s="17"/>
      <c r="F89" s="18">
        <f>IF(D89="","",D89*IF(E89="",1,E89))</f>
      </c>
      <c r="G89" s="10"/>
    </row>
    <row r="90" spans="1:7" x14ac:dyDescent="0.25">
      <c r="A90" s="7"/>
      <c r="B90" s="10"/>
      <c r="C90" s="10"/>
      <c r="D90" s="13"/>
      <c r="E90" s="17"/>
      <c r="F90" s="18">
        <f>IF(D90="","",D90*IF(E90="",1,E90))</f>
      </c>
      <c r="G90" s="10"/>
    </row>
    <row r="91" spans="1:7" x14ac:dyDescent="0.25">
      <c r="A91" s="7"/>
      <c r="B91" s="10"/>
      <c r="C91" s="10"/>
      <c r="D91" s="13"/>
      <c r="E91" s="17"/>
      <c r="F91" s="18">
        <f>IF(D91="","",D91*IF(E91="",1,E91))</f>
      </c>
      <c r="G91" s="10"/>
    </row>
    <row r="92" spans="1:7" x14ac:dyDescent="0.25">
      <c r="A92" s="7"/>
      <c r="B92" s="10"/>
      <c r="C92" s="10"/>
      <c r="D92" s="13"/>
      <c r="E92" s="17"/>
      <c r="F92" s="18">
        <f>IF(D92="","",D92*IF(E92="",1,E92))</f>
      </c>
      <c r="G92" s="10"/>
    </row>
    <row r="93" spans="1:7" x14ac:dyDescent="0.25">
      <c r="A93" s="7"/>
      <c r="B93" s="10"/>
      <c r="C93" s="10"/>
      <c r="D93" s="13"/>
      <c r="E93" s="17"/>
      <c r="F93" s="18">
        <f>IF(D93="","",D93*IF(E93="",1,E93))</f>
      </c>
      <c r="G93" s="10"/>
    </row>
    <row r="94" spans="1:7" x14ac:dyDescent="0.25">
      <c r="A94" s="7"/>
      <c r="B94" s="10"/>
      <c r="C94" s="10"/>
      <c r="D94" s="13"/>
      <c r="E94" s="17"/>
      <c r="F94" s="18">
        <f>IF(D94="","",D94*IF(E94="",1,E94))</f>
      </c>
      <c r="G94" s="10"/>
    </row>
    <row r="95" spans="1:7" x14ac:dyDescent="0.25">
      <c r="A95" s="7"/>
      <c r="B95" s="10"/>
      <c r="C95" s="10"/>
      <c r="D95" s="13"/>
      <c r="E95" s="17"/>
      <c r="F95" s="18">
        <f>IF(D95="","",D95*IF(E95="",1,E95))</f>
      </c>
      <c r="G95" s="10"/>
    </row>
    <row r="96" spans="1:7" x14ac:dyDescent="0.25">
      <c r="A96" s="7"/>
      <c r="B96" s="10"/>
      <c r="C96" s="10"/>
      <c r="D96" s="13"/>
      <c r="E96" s="17"/>
      <c r="F96" s="18">
        <f>IF(D96="","",D96*IF(E96="",1,E96))</f>
      </c>
      <c r="G96" s="10"/>
    </row>
    <row r="97" spans="1:7" x14ac:dyDescent="0.25">
      <c r="A97" s="7"/>
      <c r="B97" s="10"/>
      <c r="C97" s="10"/>
      <c r="D97" s="13"/>
      <c r="E97" s="17"/>
      <c r="F97" s="18">
        <f>IF(D97="","",D97*IF(E97="",1,E97))</f>
      </c>
      <c r="G97" s="10"/>
    </row>
    <row r="98" spans="1:7" x14ac:dyDescent="0.25">
      <c r="A98" s="7"/>
      <c r="B98" s="10"/>
      <c r="C98" s="10"/>
      <c r="D98" s="13"/>
      <c r="E98" s="17"/>
      <c r="F98" s="18">
        <f>IF(D98="","",D98*IF(E98="",1,E98))</f>
      </c>
      <c r="G98" s="10"/>
    </row>
    <row r="99" spans="1:7" x14ac:dyDescent="0.25">
      <c r="A99" s="7"/>
      <c r="B99" s="10"/>
      <c r="C99" s="10"/>
      <c r="D99" s="13"/>
      <c r="E99" s="17"/>
      <c r="F99" s="18">
        <f>IF(D99="","",D99*IF(E99="",1,E99))</f>
      </c>
      <c r="G99" s="10"/>
    </row>
    <row r="100" spans="1:7" x14ac:dyDescent="0.25">
      <c r="A100" s="7"/>
      <c r="B100" s="10"/>
      <c r="C100" s="10"/>
      <c r="D100" s="13"/>
      <c r="E100" s="17"/>
      <c r="F100" s="18">
        <f>IF(D100="","",D100*IF(E100="",1,E100))</f>
      </c>
      <c r="G100" s="10"/>
    </row>
    <row r="101" spans="1:7" x14ac:dyDescent="0.25">
      <c r="A101" s="7"/>
      <c r="B101" s="10"/>
      <c r="C101" s="10"/>
      <c r="D101" s="13"/>
      <c r="E101" s="17"/>
      <c r="F101" s="18">
        <f>IF(D101="","",D101*IF(E101="",1,E101))</f>
      </c>
      <c r="G101" s="10"/>
    </row>
    <row r="102" spans="1:7" x14ac:dyDescent="0.25">
      <c r="A102" s="7"/>
      <c r="B102" s="10"/>
      <c r="C102" s="10"/>
      <c r="D102" s="13"/>
      <c r="E102" s="17"/>
      <c r="F102" s="18">
        <f>IF(D102="","",D102*IF(E102="",1,E102))</f>
      </c>
      <c r="G102" s="10"/>
    </row>
    <row r="103" spans="1:7" x14ac:dyDescent="0.25">
      <c r="A103" s="7"/>
      <c r="B103" s="10"/>
      <c r="C103" s="10"/>
      <c r="D103" s="13"/>
      <c r="E103" s="17"/>
      <c r="F103" s="18">
        <f>IF(D103="","",D103*IF(E103="",1,E103))</f>
      </c>
      <c r="G103" s="10"/>
    </row>
    <row r="104" spans="1:7" x14ac:dyDescent="0.25">
      <c r="A104" s="7"/>
      <c r="B104" s="10"/>
      <c r="C104" s="10"/>
      <c r="D104" s="13"/>
      <c r="E104" s="17"/>
      <c r="F104" s="18">
        <f>IF(D104="","",D104*IF(E104="",1,E104))</f>
      </c>
      <c r="G104" s="10"/>
    </row>
    <row r="105" spans="1:7" x14ac:dyDescent="0.25">
      <c r="A105" s="7"/>
      <c r="B105" s="10"/>
      <c r="C105" s="10"/>
      <c r="D105" s="13"/>
      <c r="E105" s="17"/>
      <c r="F105" s="18">
        <f>IF(D105="","",D105*IF(E105="",1,E105))</f>
      </c>
      <c r="G105" s="10"/>
    </row>
    <row r="106" spans="1:7" x14ac:dyDescent="0.25">
      <c r="A106" s="7"/>
      <c r="B106" s="10"/>
      <c r="C106" s="10"/>
      <c r="D106" s="13"/>
      <c r="E106" s="17"/>
      <c r="F106" s="18">
        <f>IF(D106="","",D106*IF(E106="",1,E106))</f>
      </c>
      <c r="G106" s="10"/>
    </row>
    <row r="107" spans="1:7" x14ac:dyDescent="0.25">
      <c r="A107" s="7"/>
      <c r="B107" s="10"/>
      <c r="C107" s="10"/>
      <c r="D107" s="13"/>
      <c r="E107" s="17"/>
      <c r="F107" s="18">
        <f>IF(D107="","",D107*IF(E107="",1,E107))</f>
      </c>
      <c r="G107" s="10"/>
    </row>
    <row r="108" spans="1:7" x14ac:dyDescent="0.25">
      <c r="A108" s="7"/>
      <c r="B108" s="10"/>
      <c r="C108" s="10"/>
      <c r="D108" s="13"/>
      <c r="E108" s="17"/>
      <c r="F108" s="18">
        <f>IF(D108="","",D108*IF(E108="",1,E108))</f>
      </c>
      <c r="G108" s="10"/>
    </row>
    <row r="109" spans="1:7" x14ac:dyDescent="0.25">
      <c r="A109" s="7"/>
      <c r="B109" s="10"/>
      <c r="C109" s="10"/>
      <c r="D109" s="13"/>
      <c r="E109" s="17"/>
      <c r="F109" s="18">
        <f>IF(D109="","",D109*IF(E109="",1,E109))</f>
      </c>
      <c r="G109" s="10"/>
    </row>
    <row r="110" spans="1:7" x14ac:dyDescent="0.25">
      <c r="A110" s="7"/>
      <c r="B110" s="10"/>
      <c r="C110" s="10"/>
      <c r="D110" s="13"/>
      <c r="E110" s="17"/>
      <c r="F110" s="18">
        <f>IF(D110="","",D110*IF(E110="",1,E110))</f>
      </c>
      <c r="G110" s="10"/>
    </row>
    <row r="111" spans="1:7" x14ac:dyDescent="0.25">
      <c r="A111" s="7"/>
      <c r="B111" s="10"/>
      <c r="C111" s="10"/>
      <c r="D111" s="13"/>
      <c r="E111" s="17"/>
      <c r="F111" s="18">
        <f>IF(D111="","",D111*IF(E111="",1,E111))</f>
      </c>
      <c r="G111" s="10"/>
    </row>
    <row r="112" spans="1:7" x14ac:dyDescent="0.25">
      <c r="A112" s="7"/>
      <c r="B112" s="10"/>
      <c r="C112" s="10"/>
      <c r="D112" s="13"/>
      <c r="E112" s="17"/>
      <c r="F112" s="18">
        <f>IF(D112="","",D112*IF(E112="",1,E112))</f>
      </c>
      <c r="G112" s="10"/>
    </row>
    <row r="113" spans="1:7" x14ac:dyDescent="0.25">
      <c r="A113" s="7"/>
      <c r="B113" s="10"/>
      <c r="C113" s="10"/>
      <c r="D113" s="13"/>
      <c r="E113" s="17"/>
      <c r="F113" s="18">
        <f>IF(D113="","",D113*IF(E113="",1,E113))</f>
      </c>
      <c r="G113" s="10"/>
    </row>
    <row r="114" spans="1:7" x14ac:dyDescent="0.25">
      <c r="A114" s="7"/>
      <c r="B114" s="10"/>
      <c r="C114" s="10"/>
      <c r="D114" s="13"/>
      <c r="E114" s="17"/>
      <c r="F114" s="18">
        <f>IF(D114="","",D114*IF(E114="",1,E114))</f>
      </c>
      <c r="G114" s="10"/>
    </row>
    <row r="115" spans="1:7" x14ac:dyDescent="0.25">
      <c r="A115" s="7"/>
      <c r="B115" s="10"/>
      <c r="C115" s="10"/>
      <c r="D115" s="13"/>
      <c r="E115" s="17"/>
      <c r="F115" s="18">
        <f>IF(D115="","",D115*IF(E115="",1,E115))</f>
      </c>
      <c r="G115" s="10"/>
    </row>
    <row r="116" spans="1:7" x14ac:dyDescent="0.25">
      <c r="A116" s="7"/>
      <c r="B116" s="10"/>
      <c r="C116" s="10"/>
      <c r="D116" s="13"/>
      <c r="E116" s="17"/>
      <c r="F116" s="18">
        <f>IF(D116="","",D116*IF(E116="",1,E116))</f>
      </c>
      <c r="G116" s="10"/>
    </row>
    <row r="117" spans="1:7" x14ac:dyDescent="0.25">
      <c r="A117" s="7"/>
      <c r="B117" s="10"/>
      <c r="C117" s="10"/>
      <c r="D117" s="13"/>
      <c r="E117" s="17"/>
      <c r="F117" s="18">
        <f>IF(D117="","",D117*IF(E117="",1,E117))</f>
      </c>
      <c r="G117" s="10"/>
    </row>
    <row r="118" spans="1:7" x14ac:dyDescent="0.25">
      <c r="A118" s="7"/>
      <c r="B118" s="10"/>
      <c r="C118" s="10"/>
      <c r="D118" s="13"/>
      <c r="E118" s="17"/>
      <c r="F118" s="18">
        <f>IF(D118="","",D118*IF(E118="",1,E118))</f>
      </c>
      <c r="G118" s="10"/>
    </row>
    <row r="119" spans="1:7" x14ac:dyDescent="0.25">
      <c r="A119" s="7"/>
      <c r="B119" s="10"/>
      <c r="C119" s="10"/>
      <c r="D119" s="13"/>
      <c r="E119" s="17"/>
      <c r="F119" s="18">
        <f>IF(D119="","",D119*IF(E119="",1,E119))</f>
      </c>
      <c r="G119" s="10"/>
    </row>
    <row r="120" spans="1:7" x14ac:dyDescent="0.25">
      <c r="A120" s="7"/>
      <c r="B120" s="10"/>
      <c r="C120" s="10"/>
      <c r="D120" s="13"/>
      <c r="E120" s="17"/>
      <c r="F120" s="18">
        <f>IF(D120="","",D120*IF(E120="",1,E120))</f>
      </c>
      <c r="G120" s="10"/>
    </row>
    <row r="121" spans="1:7" x14ac:dyDescent="0.25">
      <c r="A121" s="7"/>
      <c r="B121" s="10"/>
      <c r="C121" s="10"/>
      <c r="D121" s="13"/>
      <c r="E121" s="17"/>
      <c r="F121" s="18">
        <f>IF(D121="","",D121*IF(E121="",1,E121))</f>
      </c>
      <c r="G121" s="10"/>
    </row>
    <row r="122" spans="1:7" x14ac:dyDescent="0.25">
      <c r="A122" s="7"/>
      <c r="B122" s="10"/>
      <c r="C122" s="10"/>
      <c r="D122" s="13"/>
      <c r="E122" s="17"/>
      <c r="F122" s="18">
        <f>IF(D122="","",D122*IF(E122="",1,E122))</f>
      </c>
      <c r="G122" s="10"/>
    </row>
    <row r="123" spans="1:7" x14ac:dyDescent="0.25">
      <c r="A123" s="7"/>
      <c r="B123" s="10"/>
      <c r="C123" s="10"/>
      <c r="D123" s="13"/>
      <c r="E123" s="17"/>
      <c r="F123" s="18">
        <f>IF(D123="","",D123*IF(E123="",1,E123))</f>
      </c>
      <c r="G123" s="10"/>
    </row>
    <row r="124" spans="1:7" x14ac:dyDescent="0.25">
      <c r="A124" s="7"/>
      <c r="B124" s="10"/>
      <c r="C124" s="10"/>
      <c r="D124" s="13"/>
      <c r="E124" s="17"/>
      <c r="F124" s="18">
        <f>IF(D124="","",D124*IF(E124="",1,E124))</f>
      </c>
      <c r="G124" s="10"/>
    </row>
    <row r="125" spans="1:7" x14ac:dyDescent="0.25">
      <c r="A125" s="7"/>
      <c r="B125" s="10"/>
      <c r="C125" s="10"/>
      <c r="D125" s="13"/>
      <c r="E125" s="17"/>
      <c r="F125" s="18">
        <f>IF(D125="","",D125*IF(E125="",1,E125))</f>
      </c>
      <c r="G125" s="10"/>
    </row>
    <row r="126" spans="1:7" x14ac:dyDescent="0.25">
      <c r="A126" s="7"/>
      <c r="B126" s="10"/>
      <c r="C126" s="10"/>
      <c r="D126" s="13"/>
      <c r="E126" s="17"/>
      <c r="F126" s="18">
        <f>IF(D126="","",D126*IF(E126="",1,E126))</f>
      </c>
      <c r="G126" s="10"/>
    </row>
    <row r="127" spans="1:7" x14ac:dyDescent="0.25">
      <c r="A127" s="7"/>
      <c r="B127" s="10"/>
      <c r="C127" s="10"/>
      <c r="D127" s="13"/>
      <c r="E127" s="17"/>
      <c r="F127" s="18">
        <f>IF(D127="","",D127*IF(E127="",1,E127))</f>
      </c>
      <c r="G127" s="10"/>
    </row>
    <row r="128" spans="1:7" x14ac:dyDescent="0.25">
      <c r="A128" s="7"/>
      <c r="B128" s="10"/>
      <c r="C128" s="10"/>
      <c r="D128" s="13"/>
      <c r="E128" s="17"/>
      <c r="F128" s="18">
        <f>IF(D128="","",D128*IF(E128="",1,E128))</f>
      </c>
      <c r="G128" s="10"/>
    </row>
    <row r="129" spans="1:7" x14ac:dyDescent="0.25">
      <c r="A129" s="7"/>
      <c r="B129" s="10"/>
      <c r="C129" s="10"/>
      <c r="D129" s="13"/>
      <c r="E129" s="17"/>
      <c r="F129" s="18">
        <f>IF(D129="","",D129*IF(E129="",1,E129))</f>
      </c>
      <c r="G129" s="10"/>
    </row>
    <row r="130" spans="1:7" x14ac:dyDescent="0.25">
      <c r="A130" s="7"/>
      <c r="B130" s="10"/>
      <c r="C130" s="10"/>
      <c r="D130" s="13"/>
      <c r="E130" s="17"/>
      <c r="F130" s="18">
        <f>IF(D130="","",D130*IF(E130="",1,E130))</f>
      </c>
      <c r="G130" s="10"/>
    </row>
    <row r="131" spans="1:7" x14ac:dyDescent="0.25">
      <c r="A131" s="7"/>
      <c r="B131" s="10"/>
      <c r="C131" s="10"/>
      <c r="D131" s="13"/>
      <c r="E131" s="17"/>
      <c r="F131" s="18">
        <f>IF(D131="","",D131*IF(E131="",1,E131))</f>
      </c>
      <c r="G131" s="10"/>
    </row>
    <row r="132" spans="1:7" x14ac:dyDescent="0.25">
      <c r="A132" s="7"/>
      <c r="B132" s="10"/>
      <c r="C132" s="10"/>
      <c r="D132" s="13"/>
      <c r="E132" s="17"/>
      <c r="F132" s="18">
        <f>IF(D132="","",D132*IF(E132="",1,E132))</f>
      </c>
      <c r="G132" s="10"/>
    </row>
    <row r="133" spans="1:7" x14ac:dyDescent="0.25">
      <c r="A133" s="7"/>
      <c r="B133" s="10"/>
      <c r="C133" s="10"/>
      <c r="D133" s="13"/>
      <c r="E133" s="17"/>
      <c r="F133" s="18">
        <f>IF(D133="","",D133*IF(E133="",1,E133))</f>
      </c>
      <c r="G133" s="10"/>
    </row>
    <row r="134" spans="1:7" x14ac:dyDescent="0.25">
      <c r="A134" s="7"/>
      <c r="B134" s="10"/>
      <c r="C134" s="10"/>
      <c r="D134" s="13"/>
      <c r="E134" s="17"/>
      <c r="F134" s="18">
        <f>IF(D134="","",D134*IF(E134="",1,E134))</f>
      </c>
      <c r="G134" s="10"/>
    </row>
    <row r="135" spans="1:7" x14ac:dyDescent="0.25">
      <c r="A135" s="7"/>
      <c r="B135" s="10"/>
      <c r="C135" s="10"/>
      <c r="D135" s="13"/>
      <c r="E135" s="17"/>
      <c r="F135" s="18">
        <f>IF(D135="","",D135*IF(E135="",1,E135))</f>
      </c>
      <c r="G135" s="10"/>
    </row>
    <row r="136" spans="1:7" x14ac:dyDescent="0.25">
      <c r="A136" s="7"/>
      <c r="B136" s="10"/>
      <c r="C136" s="10"/>
      <c r="D136" s="13"/>
      <c r="E136" s="17"/>
      <c r="F136" s="18">
        <f>IF(D136="","",D136*IF(E136="",1,E136))</f>
      </c>
      <c r="G136" s="10"/>
    </row>
    <row r="137" spans="1:7" x14ac:dyDescent="0.25">
      <c r="A137" s="7"/>
      <c r="B137" s="10"/>
      <c r="C137" s="10"/>
      <c r="D137" s="13"/>
      <c r="E137" s="17"/>
      <c r="F137" s="18">
        <f>IF(D137="","",D137*IF(E137="",1,E137))</f>
      </c>
      <c r="G137" s="10"/>
    </row>
    <row r="138" spans="1:7" x14ac:dyDescent="0.25">
      <c r="A138" s="7"/>
      <c r="B138" s="10"/>
      <c r="C138" s="10"/>
      <c r="D138" s="13"/>
      <c r="E138" s="17"/>
      <c r="F138" s="18">
        <f>IF(D138="","",D138*IF(E138="",1,E138))</f>
      </c>
      <c r="G138" s="10"/>
    </row>
    <row r="139" spans="1:7" x14ac:dyDescent="0.25">
      <c r="A139" s="7"/>
      <c r="B139" s="10"/>
      <c r="C139" s="10"/>
      <c r="D139" s="13"/>
      <c r="E139" s="17"/>
      <c r="F139" s="18">
        <f>IF(D139="","",D139*IF(E139="",1,E139))</f>
      </c>
      <c r="G139" s="10"/>
    </row>
    <row r="140" spans="1:7" x14ac:dyDescent="0.25">
      <c r="A140" s="7"/>
      <c r="B140" s="10"/>
      <c r="C140" s="10"/>
      <c r="D140" s="13"/>
      <c r="E140" s="17"/>
      <c r="F140" s="18">
        <f>IF(D140="","",D140*IF(E140="",1,E140))</f>
      </c>
      <c r="G140" s="10"/>
    </row>
    <row r="141" spans="1:7" x14ac:dyDescent="0.25">
      <c r="A141" s="7"/>
      <c r="B141" s="10"/>
      <c r="C141" s="10"/>
      <c r="D141" s="13"/>
      <c r="E141" s="17"/>
      <c r="F141" s="18">
        <f>IF(D141="","",D141*IF(E141="",1,E141))</f>
      </c>
      <c r="G141" s="10"/>
    </row>
    <row r="142" spans="1:7" x14ac:dyDescent="0.25">
      <c r="A142" s="7"/>
      <c r="B142" s="10"/>
      <c r="C142" s="10"/>
      <c r="D142" s="13"/>
      <c r="E142" s="17"/>
      <c r="F142" s="18">
        <f>IF(D142="","",D142*IF(E142="",1,E142))</f>
      </c>
      <c r="G142" s="10"/>
    </row>
    <row r="143" spans="1:7" x14ac:dyDescent="0.25">
      <c r="A143" s="7"/>
      <c r="B143" s="10"/>
      <c r="C143" s="10"/>
      <c r="D143" s="13"/>
      <c r="E143" s="17"/>
      <c r="F143" s="18">
        <f>IF(D143="","",D143*IF(E143="",1,E143))</f>
      </c>
      <c r="G143" s="10"/>
    </row>
    <row r="144" spans="1:7" x14ac:dyDescent="0.25">
      <c r="A144" s="7"/>
      <c r="B144" s="10"/>
      <c r="C144" s="10"/>
      <c r="D144" s="13"/>
      <c r="E144" s="17"/>
      <c r="F144" s="18">
        <f>IF(D144="","",D144*IF(E144="",1,E144))</f>
      </c>
      <c r="G144" s="10"/>
    </row>
    <row r="145" spans="1:7" x14ac:dyDescent="0.25">
      <c r="A145" s="7"/>
      <c r="B145" s="10"/>
      <c r="C145" s="10"/>
      <c r="D145" s="13"/>
      <c r="E145" s="17"/>
      <c r="F145" s="18">
        <f>IF(D145="","",D145*IF(E145="",1,E145))</f>
      </c>
      <c r="G145" s="10"/>
    </row>
    <row r="146" spans="1:7" x14ac:dyDescent="0.25">
      <c r="A146" s="7"/>
      <c r="B146" s="10"/>
      <c r="C146" s="10"/>
      <c r="D146" s="13"/>
      <c r="E146" s="17"/>
      <c r="F146" s="18">
        <f>IF(D146="","",D146*IF(E146="",1,E146))</f>
      </c>
      <c r="G146" s="10"/>
    </row>
    <row r="147" spans="1:7" x14ac:dyDescent="0.25">
      <c r="A147" s="7"/>
      <c r="B147" s="10"/>
      <c r="C147" s="10"/>
      <c r="D147" s="13"/>
      <c r="E147" s="17"/>
      <c r="F147" s="18">
        <f>IF(D147="","",D147*IF(E147="",1,E147))</f>
      </c>
      <c r="G147" s="10"/>
    </row>
    <row r="148" spans="1:7" x14ac:dyDescent="0.25">
      <c r="A148" s="7"/>
      <c r="B148" s="10"/>
      <c r="C148" s="10"/>
      <c r="D148" s="13"/>
      <c r="E148" s="17"/>
      <c r="F148" s="18">
        <f>IF(D148="","",D148*IF(E148="",1,E148))</f>
      </c>
      <c r="G148" s="10"/>
    </row>
    <row r="149" spans="1:7" x14ac:dyDescent="0.25">
      <c r="A149" s="7"/>
      <c r="B149" s="10"/>
      <c r="C149" s="10"/>
      <c r="D149" s="13"/>
      <c r="E149" s="17"/>
      <c r="F149" s="18">
        <f>IF(D149="","",D149*IF(E149="",1,E149))</f>
      </c>
      <c r="G149" s="10"/>
    </row>
    <row r="150" spans="1:7" x14ac:dyDescent="0.25">
      <c r="A150" s="7"/>
      <c r="B150" s="10"/>
      <c r="C150" s="10"/>
      <c r="D150" s="13"/>
      <c r="E150" s="17"/>
      <c r="F150" s="18">
        <f>IF(D150="","",D150*IF(E150="",1,E150))</f>
      </c>
      <c r="G150" s="10"/>
    </row>
    <row r="151" spans="1:7" x14ac:dyDescent="0.25">
      <c r="A151" s="7"/>
      <c r="B151" s="10"/>
      <c r="C151" s="10"/>
      <c r="D151" s="13"/>
      <c r="E151" s="17"/>
      <c r="F151" s="18">
        <f>IF(D151="","",D151*IF(E151="",1,E151))</f>
      </c>
      <c r="G151" s="10"/>
    </row>
    <row r="152" spans="1:7" x14ac:dyDescent="0.25">
      <c r="A152" s="7"/>
      <c r="B152" s="10"/>
      <c r="C152" s="10"/>
      <c r="D152" s="13"/>
      <c r="E152" s="17"/>
      <c r="F152" s="18">
        <f>IF(D152="","",D152*IF(E152="",1,E152))</f>
      </c>
      <c r="G152" s="10"/>
    </row>
    <row r="153" spans="1:7" x14ac:dyDescent="0.25">
      <c r="A153" s="7"/>
      <c r="B153" s="10"/>
      <c r="C153" s="10"/>
      <c r="D153" s="13"/>
      <c r="E153" s="17"/>
      <c r="F153" s="18">
        <f>IF(D153="","",D153*IF(E153="",1,E153))</f>
      </c>
      <c r="G153" s="10"/>
    </row>
    <row r="154" spans="1:7" x14ac:dyDescent="0.25">
      <c r="A154" s="7"/>
      <c r="B154" s="10"/>
      <c r="C154" s="10"/>
      <c r="D154" s="13"/>
      <c r="E154" s="17"/>
      <c r="F154" s="18">
        <f>IF(D154="","",D154*IF(E154="",1,E154))</f>
      </c>
      <c r="G154" s="10"/>
    </row>
    <row r="155" spans="1:7" x14ac:dyDescent="0.25">
      <c r="A155" s="7"/>
      <c r="B155" s="10"/>
      <c r="C155" s="10"/>
      <c r="D155" s="13"/>
      <c r="E155" s="17"/>
      <c r="F155" s="18">
        <f>IF(D155="","",D155*IF(E155="",1,E155))</f>
      </c>
      <c r="G155" s="10"/>
    </row>
    <row r="156" spans="1:7" x14ac:dyDescent="0.25">
      <c r="A156" s="7"/>
      <c r="B156" s="10"/>
      <c r="C156" s="10"/>
      <c r="D156" s="13"/>
      <c r="E156" s="17"/>
      <c r="F156" s="18">
        <f>IF(D156="","",D156*IF(E156="",1,E156))</f>
      </c>
      <c r="G156" s="10"/>
    </row>
    <row r="157" spans="1:7" x14ac:dyDescent="0.25">
      <c r="A157" s="7"/>
      <c r="B157" s="10"/>
      <c r="C157" s="10"/>
      <c r="D157" s="13"/>
      <c r="E157" s="17"/>
      <c r="F157" s="18">
        <f>IF(D157="","",D157*IF(E157="",1,E157))</f>
      </c>
      <c r="G157" s="10"/>
    </row>
    <row r="158" spans="1:7" x14ac:dyDescent="0.25">
      <c r="A158" s="7"/>
      <c r="B158" s="10"/>
      <c r="C158" s="10"/>
      <c r="D158" s="13"/>
      <c r="E158" s="17"/>
      <c r="F158" s="18">
        <f>IF(D158="","",D158*IF(E158="",1,E158))</f>
      </c>
      <c r="G158" s="10"/>
    </row>
    <row r="159" spans="1:7" x14ac:dyDescent="0.25">
      <c r="A159" s="7"/>
      <c r="B159" s="10"/>
      <c r="C159" s="10"/>
      <c r="D159" s="13"/>
      <c r="E159" s="17"/>
      <c r="F159" s="18">
        <f>IF(D159="","",D159*IF(E159="",1,E159))</f>
      </c>
      <c r="G159" s="10"/>
    </row>
    <row r="160" spans="1:7" x14ac:dyDescent="0.25">
      <c r="A160" s="7"/>
      <c r="B160" s="10"/>
      <c r="C160" s="10"/>
      <c r="D160" s="13"/>
      <c r="E160" s="17"/>
      <c r="F160" s="18">
        <f>IF(D160="","",D160*IF(E160="",1,E160))</f>
      </c>
      <c r="G160" s="10"/>
    </row>
    <row r="161" spans="1:7" x14ac:dyDescent="0.25">
      <c r="A161" s="7"/>
      <c r="B161" s="10"/>
      <c r="C161" s="10"/>
      <c r="D161" s="13"/>
      <c r="E161" s="17"/>
      <c r="F161" s="18">
        <f>IF(D161="","",D161*IF(E161="",1,E161))</f>
      </c>
      <c r="G161" s="10"/>
    </row>
    <row r="162" spans="1:7" x14ac:dyDescent="0.25">
      <c r="A162" s="7"/>
      <c r="B162" s="10"/>
      <c r="C162" s="10"/>
      <c r="D162" s="13"/>
      <c r="E162" s="17"/>
      <c r="F162" s="18">
        <f>IF(D162="","",D162*IF(E162="",1,E162))</f>
      </c>
      <c r="G162" s="10"/>
    </row>
    <row r="163" spans="1:7" x14ac:dyDescent="0.25">
      <c r="A163" s="7"/>
      <c r="B163" s="10"/>
      <c r="C163" s="10"/>
      <c r="D163" s="13"/>
      <c r="E163" s="17"/>
      <c r="F163" s="18">
        <f>IF(D163="","",D163*IF(E163="",1,E163))</f>
      </c>
      <c r="G163" s="10"/>
    </row>
    <row r="164" spans="1:7" x14ac:dyDescent="0.25">
      <c r="A164" s="7"/>
      <c r="B164" s="10"/>
      <c r="C164" s="10"/>
      <c r="D164" s="13"/>
      <c r="E164" s="17"/>
      <c r="F164" s="18">
        <f>IF(D164="","",D164*IF(E164="",1,E164))</f>
      </c>
      <c r="G164" s="10"/>
    </row>
    <row r="165" spans="1:7" x14ac:dyDescent="0.25">
      <c r="A165" s="7"/>
      <c r="B165" s="10"/>
      <c r="C165" s="10"/>
      <c r="D165" s="13"/>
      <c r="E165" s="17"/>
      <c r="F165" s="18">
        <f>IF(D165="","",D165*IF(E165="",1,E165))</f>
      </c>
      <c r="G165" s="10"/>
    </row>
    <row r="166" spans="1:7" x14ac:dyDescent="0.25">
      <c r="A166" s="7"/>
      <c r="B166" s="10"/>
      <c r="C166" s="10"/>
      <c r="D166" s="13"/>
      <c r="E166" s="17"/>
      <c r="F166" s="18">
        <f>IF(D166="","",D166*IF(E166="",1,E166))</f>
      </c>
      <c r="G166" s="10"/>
    </row>
    <row r="167" spans="1:7" x14ac:dyDescent="0.25">
      <c r="A167" s="7"/>
      <c r="B167" s="10"/>
      <c r="C167" s="10"/>
      <c r="D167" s="13"/>
      <c r="E167" s="17"/>
      <c r="F167" s="18">
        <f>IF(D167="","",D167*IF(E167="",1,E167))</f>
      </c>
      <c r="G167" s="10"/>
    </row>
    <row r="168" spans="1:7" x14ac:dyDescent="0.25">
      <c r="A168" s="7"/>
      <c r="B168" s="10"/>
      <c r="C168" s="10"/>
      <c r="D168" s="13"/>
      <c r="E168" s="17"/>
      <c r="F168" s="18">
        <f>IF(D168="","",D168*IF(E168="",1,E168))</f>
      </c>
      <c r="G168" s="10"/>
    </row>
    <row r="169" spans="1:7" x14ac:dyDescent="0.25">
      <c r="A169" s="7"/>
      <c r="B169" s="10"/>
      <c r="C169" s="10"/>
      <c r="D169" s="13"/>
      <c r="E169" s="17"/>
      <c r="F169" s="18">
        <f>IF(D169="","",D169*IF(E169="",1,E169))</f>
      </c>
      <c r="G169" s="10"/>
    </row>
    <row r="170" spans="1:7" x14ac:dyDescent="0.25">
      <c r="A170" s="7"/>
      <c r="B170" s="10"/>
      <c r="C170" s="10"/>
      <c r="D170" s="13"/>
      <c r="E170" s="17"/>
      <c r="F170" s="18">
        <f>IF(D170="","",D170*IF(E170="",1,E170))</f>
      </c>
      <c r="G170" s="10"/>
    </row>
    <row r="171" spans="1:7" x14ac:dyDescent="0.25">
      <c r="A171" s="7"/>
      <c r="B171" s="10"/>
      <c r="C171" s="10"/>
      <c r="D171" s="13"/>
      <c r="E171" s="17"/>
      <c r="F171" s="18">
        <f>IF(D171="","",D171*IF(E171="",1,E171))</f>
      </c>
      <c r="G171" s="10"/>
    </row>
    <row r="172" spans="1:7" x14ac:dyDescent="0.25">
      <c r="A172" s="7"/>
      <c r="B172" s="10"/>
      <c r="C172" s="10"/>
      <c r="D172" s="13"/>
      <c r="E172" s="17"/>
      <c r="F172" s="18">
        <f>IF(D172="","",D172*IF(E172="",1,E172))</f>
      </c>
      <c r="G172" s="10"/>
    </row>
    <row r="173" spans="1:7" x14ac:dyDescent="0.25">
      <c r="A173" s="7"/>
      <c r="B173" s="10"/>
      <c r="C173" s="10"/>
      <c r="D173" s="13"/>
      <c r="E173" s="17"/>
      <c r="F173" s="18">
        <f>IF(D173="","",D173*IF(E173="",1,E173))</f>
      </c>
      <c r="G173" s="10"/>
    </row>
    <row r="174" spans="1:7" x14ac:dyDescent="0.25">
      <c r="A174" s="7"/>
      <c r="B174" s="10"/>
      <c r="C174" s="10"/>
      <c r="D174" s="13"/>
      <c r="E174" s="17"/>
      <c r="F174" s="18">
        <f>IF(D174="","",D174*IF(E174="",1,E174))</f>
      </c>
      <c r="G174" s="10"/>
    </row>
    <row r="175" spans="1:7" x14ac:dyDescent="0.25">
      <c r="A175" s="7"/>
      <c r="B175" s="10"/>
      <c r="C175" s="10"/>
      <c r="D175" s="13"/>
      <c r="E175" s="17"/>
      <c r="F175" s="18">
        <f>IF(D175="","",D175*IF(E175="",1,E175))</f>
      </c>
      <c r="G175" s="10"/>
    </row>
    <row r="176" spans="1:7" x14ac:dyDescent="0.25">
      <c r="A176" s="7"/>
      <c r="B176" s="10"/>
      <c r="C176" s="10"/>
      <c r="D176" s="13"/>
      <c r="E176" s="17"/>
      <c r="F176" s="18">
        <f>IF(D176="","",D176*IF(E176="",1,E176))</f>
      </c>
      <c r="G176" s="10"/>
    </row>
    <row r="177" spans="1:7" x14ac:dyDescent="0.25">
      <c r="A177" s="7"/>
      <c r="B177" s="10"/>
      <c r="C177" s="10"/>
      <c r="D177" s="13"/>
      <c r="E177" s="17"/>
      <c r="F177" s="18">
        <f>IF(D177="","",D177*IF(E177="",1,E177))</f>
      </c>
      <c r="G177" s="10"/>
    </row>
    <row r="178" spans="1:7" x14ac:dyDescent="0.25">
      <c r="A178" s="7"/>
      <c r="B178" s="10"/>
      <c r="C178" s="10"/>
      <c r="D178" s="13"/>
      <c r="E178" s="17"/>
      <c r="F178" s="18">
        <f>IF(D178="","",D178*IF(E178="",1,E178))</f>
      </c>
      <c r="G178" s="10"/>
    </row>
    <row r="179" spans="1:7" x14ac:dyDescent="0.25">
      <c r="A179" s="7"/>
      <c r="B179" s="10"/>
      <c r="C179" s="10"/>
      <c r="D179" s="13"/>
      <c r="E179" s="17"/>
      <c r="F179" s="18">
        <f>IF(D179="","",D179*IF(E179="",1,E179))</f>
      </c>
      <c r="G179" s="10"/>
    </row>
    <row r="180" spans="1:7" x14ac:dyDescent="0.25">
      <c r="A180" s="7"/>
      <c r="B180" s="10"/>
      <c r="C180" s="10"/>
      <c r="D180" s="13"/>
      <c r="E180" s="17"/>
      <c r="F180" s="18">
        <f>IF(D180="","",D180*IF(E180="",1,E180))</f>
      </c>
      <c r="G180" s="10"/>
    </row>
    <row r="181" spans="1:7" x14ac:dyDescent="0.25">
      <c r="A181" s="7"/>
      <c r="B181" s="10"/>
      <c r="C181" s="10"/>
      <c r="D181" s="13"/>
      <c r="E181" s="17"/>
      <c r="F181" s="18">
        <f>IF(D181="","",D181*IF(E181="",1,E181))</f>
      </c>
      <c r="G181" s="10"/>
    </row>
    <row r="182" spans="1:7" x14ac:dyDescent="0.25">
      <c r="A182" s="7"/>
      <c r="B182" s="10"/>
      <c r="C182" s="10"/>
      <c r="D182" s="13"/>
      <c r="E182" s="17"/>
      <c r="F182" s="18">
        <f>IF(D182="","",D182*IF(E182="",1,E182))</f>
      </c>
      <c r="G182" s="10"/>
    </row>
    <row r="183" spans="1:7" x14ac:dyDescent="0.25">
      <c r="A183" s="7"/>
      <c r="B183" s="10"/>
      <c r="C183" s="10"/>
      <c r="D183" s="13"/>
      <c r="E183" s="17"/>
      <c r="F183" s="18">
        <f>IF(D183="","",D183*IF(E183="",1,E183))</f>
      </c>
      <c r="G183" s="10"/>
    </row>
    <row r="184" spans="1:7" x14ac:dyDescent="0.25">
      <c r="A184" s="7"/>
      <c r="B184" s="10"/>
      <c r="C184" s="10"/>
      <c r="D184" s="13"/>
      <c r="E184" s="17"/>
      <c r="F184" s="18">
        <f>IF(D184="","",D184*IF(E184="",1,E184))</f>
      </c>
      <c r="G184" s="10"/>
    </row>
    <row r="185" spans="1:7" x14ac:dyDescent="0.25">
      <c r="A185" s="7"/>
      <c r="B185" s="10"/>
      <c r="C185" s="10"/>
      <c r="D185" s="13"/>
      <c r="E185" s="17"/>
      <c r="F185" s="18">
        <f>IF(D185="","",D185*IF(E185="",1,E185))</f>
      </c>
      <c r="G185" s="10"/>
    </row>
    <row r="186" spans="1:7" x14ac:dyDescent="0.25">
      <c r="A186" s="7"/>
      <c r="B186" s="10"/>
      <c r="C186" s="10"/>
      <c r="D186" s="13"/>
      <c r="E186" s="17"/>
      <c r="F186" s="18">
        <f>IF(D186="","",D186*IF(E186="",1,E186))</f>
      </c>
      <c r="G186" s="10"/>
    </row>
    <row r="187" spans="1:7" x14ac:dyDescent="0.25">
      <c r="A187" s="7"/>
      <c r="B187" s="10"/>
      <c r="C187" s="10"/>
      <c r="D187" s="13"/>
      <c r="E187" s="17"/>
      <c r="F187" s="18">
        <f>IF(D187="","",D187*IF(E187="",1,E187))</f>
      </c>
      <c r="G187" s="10"/>
    </row>
    <row r="188" spans="1:7" x14ac:dyDescent="0.25">
      <c r="A188" s="7"/>
      <c r="B188" s="10"/>
      <c r="C188" s="10"/>
      <c r="D188" s="13"/>
      <c r="E188" s="17"/>
      <c r="F188" s="18">
        <f>IF(D188="","",D188*IF(E188="",1,E188))</f>
      </c>
      <c r="G188" s="10"/>
    </row>
    <row r="189" spans="1:7" x14ac:dyDescent="0.25">
      <c r="A189" s="7"/>
      <c r="B189" s="10"/>
      <c r="C189" s="10"/>
      <c r="D189" s="13"/>
      <c r="E189" s="17"/>
      <c r="F189" s="18">
        <f>IF(D189="","",D189*IF(E189="",1,E189))</f>
      </c>
      <c r="G189" s="10"/>
    </row>
    <row r="190" spans="1:7" x14ac:dyDescent="0.25">
      <c r="A190" s="7"/>
      <c r="B190" s="10"/>
      <c r="C190" s="10"/>
      <c r="D190" s="13"/>
      <c r="E190" s="17"/>
      <c r="F190" s="18">
        <f>IF(D190="","",D190*IF(E190="",1,E190))</f>
      </c>
      <c r="G190" s="10"/>
    </row>
    <row r="191" spans="1:7" x14ac:dyDescent="0.25">
      <c r="A191" s="7"/>
      <c r="B191" s="10"/>
      <c r="C191" s="10"/>
      <c r="D191" s="13"/>
      <c r="E191" s="17"/>
      <c r="F191" s="18">
        <f>IF(D191="","",D191*IF(E191="",1,E191))</f>
      </c>
      <c r="G191" s="10"/>
    </row>
    <row r="192" spans="1:7" x14ac:dyDescent="0.25">
      <c r="A192" s="7"/>
      <c r="B192" s="10"/>
      <c r="C192" s="10"/>
      <c r="D192" s="13"/>
      <c r="E192" s="17"/>
      <c r="F192" s="18">
        <f>IF(D192="","",D192*IF(E192="",1,E192))</f>
      </c>
      <c r="G192" s="10"/>
    </row>
    <row r="193" spans="1:7" x14ac:dyDescent="0.25">
      <c r="A193" s="7"/>
      <c r="B193" s="10"/>
      <c r="C193" s="10"/>
      <c r="D193" s="13"/>
      <c r="E193" s="17"/>
      <c r="F193" s="18">
        <f>IF(D193="","",D193*IF(E193="",1,E193))</f>
      </c>
      <c r="G193" s="10"/>
    </row>
    <row r="194" spans="1:7" x14ac:dyDescent="0.25">
      <c r="A194" s="7"/>
      <c r="B194" s="10"/>
      <c r="C194" s="10"/>
      <c r="D194" s="13"/>
      <c r="E194" s="17"/>
      <c r="F194" s="18">
        <f>IF(D194="","",D194*IF(E194="",1,E194))</f>
      </c>
      <c r="G194" s="10"/>
    </row>
    <row r="195" spans="1:7" x14ac:dyDescent="0.25">
      <c r="A195" s="7"/>
      <c r="B195" s="10"/>
      <c r="C195" s="10"/>
      <c r="D195" s="13"/>
      <c r="E195" s="17"/>
      <c r="F195" s="18">
        <f>IF(D195="","",D195*IF(E195="",1,E195))</f>
      </c>
      <c r="G195" s="10"/>
    </row>
    <row r="196" spans="1:7" x14ac:dyDescent="0.25">
      <c r="A196" s="7"/>
      <c r="B196" s="10"/>
      <c r="C196" s="10"/>
      <c r="D196" s="13"/>
      <c r="E196" s="17"/>
      <c r="F196" s="18">
        <f>IF(D196="","",D196*IF(E196="",1,E196))</f>
      </c>
      <c r="G196" s="10"/>
    </row>
    <row r="197" spans="1:7" x14ac:dyDescent="0.25">
      <c r="A197" s="7"/>
      <c r="B197" s="10"/>
      <c r="C197" s="10"/>
      <c r="D197" s="13"/>
      <c r="E197" s="17"/>
      <c r="F197" s="18">
        <f>IF(D197="","",D197*IF(E197="",1,E197))</f>
      </c>
      <c r="G197" s="10"/>
    </row>
    <row r="198" spans="1:7" x14ac:dyDescent="0.25">
      <c r="A198" s="7"/>
      <c r="B198" s="10"/>
      <c r="C198" s="10"/>
      <c r="D198" s="13"/>
      <c r="E198" s="17"/>
      <c r="F198" s="18">
        <f>IF(D198="","",D198*IF(E198="",1,E198))</f>
      </c>
      <c r="G198" s="10"/>
    </row>
    <row r="199" spans="1:7" x14ac:dyDescent="0.25">
      <c r="A199" s="7"/>
      <c r="B199" s="10"/>
      <c r="C199" s="10"/>
      <c r="D199" s="13"/>
      <c r="E199" s="17"/>
      <c r="F199" s="18">
        <f>IF(D199="","",D199*IF(E199="",1,E199))</f>
      </c>
      <c r="G199" s="10"/>
    </row>
    <row r="200" spans="1:7" x14ac:dyDescent="0.25">
      <c r="A200" s="7"/>
      <c r="B200" s="10"/>
      <c r="C200" s="10"/>
      <c r="D200" s="13"/>
      <c r="E200" s="17"/>
      <c r="F200" s="18">
        <f>IF(D200="","",D200*IF(E200="",1,E200))</f>
      </c>
      <c r="G200" s="10"/>
    </row>
    <row r="201" spans="1:7" x14ac:dyDescent="0.25">
      <c r="A201" s="7"/>
      <c r="B201" s="10"/>
      <c r="C201" s="10"/>
      <c r="D201" s="13"/>
      <c r="E201" s="17"/>
      <c r="F201" s="18">
        <f>IF(D201="","",D201*IF(E201="",1,E201))</f>
      </c>
      <c r="G201" s="10"/>
    </row>
    <row r="202" spans="1:7" x14ac:dyDescent="0.25">
      <c r="A202" s="7"/>
      <c r="B202" s="10"/>
      <c r="C202" s="10"/>
      <c r="D202" s="13"/>
      <c r="E202" s="17"/>
      <c r="F202" s="18">
        <f>IF(D202="","",D202*IF(E202="",1,E202))</f>
      </c>
      <c r="G202" s="10"/>
    </row>
    <row r="203" spans="1:7" x14ac:dyDescent="0.25">
      <c r="A203" s="7"/>
      <c r="B203" s="10"/>
      <c r="C203" s="10"/>
      <c r="D203" s="13"/>
      <c r="E203" s="17"/>
      <c r="F203" s="18">
        <f>IF(D203="","",D203*IF(E203="",1,E203))</f>
      </c>
      <c r="G203" s="10"/>
    </row>
    <row r="204" spans="1:7" x14ac:dyDescent="0.25">
      <c r="A204" s="7"/>
      <c r="B204" s="10"/>
      <c r="C204" s="10"/>
      <c r="D204" s="13"/>
      <c r="E204" s="17"/>
      <c r="F204" s="18">
        <f>IF(D204="","",D204*IF(E204="",1,E204))</f>
      </c>
      <c r="G204" s="10"/>
    </row>
    <row r="205" spans="1:7" x14ac:dyDescent="0.25">
      <c r="A205" s="7"/>
      <c r="B205" s="10"/>
      <c r="C205" s="10"/>
      <c r="D205" s="13"/>
      <c r="E205" s="17"/>
      <c r="F205" s="18">
        <f>IF(D205="","",D205*IF(E205="",1,E205))</f>
      </c>
      <c r="G205" s="10"/>
    </row>
    <row r="206" spans="1:7" x14ac:dyDescent="0.25">
      <c r="A206" s="7"/>
      <c r="B206" s="10"/>
      <c r="C206" s="10"/>
      <c r="D206" s="13"/>
      <c r="E206" s="17"/>
      <c r="F206" s="18">
        <f>IF(D206="","",D206*IF(E206="",1,E206))</f>
      </c>
      <c r="G206" s="10"/>
    </row>
    <row r="207" spans="1:7" x14ac:dyDescent="0.25">
      <c r="A207" s="7"/>
      <c r="B207" s="10"/>
      <c r="C207" s="10"/>
      <c r="D207" s="13"/>
      <c r="E207" s="17"/>
      <c r="F207" s="18">
        <f>IF(D207="","",D207*IF(E207="",1,E207))</f>
      </c>
      <c r="G207" s="10"/>
    </row>
    <row r="208" spans="1:7" x14ac:dyDescent="0.25">
      <c r="A208" s="7"/>
      <c r="B208" s="10"/>
      <c r="C208" s="10"/>
      <c r="D208" s="13"/>
      <c r="E208" s="17"/>
      <c r="F208" s="18">
        <f>IF(D208="","",D208*IF(E208="",1,E208))</f>
      </c>
      <c r="G208" s="10"/>
    </row>
    <row r="209" spans="1:7" x14ac:dyDescent="0.25">
      <c r="A209" s="7"/>
      <c r="B209" s="10"/>
      <c r="C209" s="10"/>
      <c r="D209" s="13"/>
      <c r="E209" s="17"/>
      <c r="F209" s="18">
        <f>IF(D209="","",D209*IF(E209="",1,E209))</f>
      </c>
      <c r="G209" s="10"/>
    </row>
    <row r="210" spans="1:7" x14ac:dyDescent="0.25">
      <c r="A210" s="7"/>
      <c r="B210" s="10"/>
      <c r="C210" s="10"/>
      <c r="D210" s="13"/>
      <c r="E210" s="17"/>
      <c r="F210" s="18">
        <f>IF(D210="","",D210*IF(E210="",1,E210))</f>
      </c>
      <c r="G210" s="10"/>
    </row>
    <row r="211" spans="1:7" x14ac:dyDescent="0.25">
      <c r="A211" s="7"/>
      <c r="B211" s="10"/>
      <c r="C211" s="10"/>
      <c r="D211" s="13"/>
      <c r="E211" s="17"/>
      <c r="F211" s="18">
        <f>IF(D211="","",D211*IF(E211="",1,E211))</f>
      </c>
      <c r="G211" s="10"/>
    </row>
    <row r="212" spans="1:7" x14ac:dyDescent="0.25">
      <c r="A212" s="7"/>
      <c r="B212" s="10"/>
      <c r="C212" s="10"/>
      <c r="D212" s="13"/>
      <c r="E212" s="17"/>
      <c r="F212" s="18">
        <f>IF(D212="","",D212*IF(E212="",1,E212))</f>
      </c>
      <c r="G212" s="10"/>
    </row>
    <row r="213" spans="1:7" x14ac:dyDescent="0.25">
      <c r="A213" s="7"/>
      <c r="B213" s="10"/>
      <c r="C213" s="10"/>
      <c r="D213" s="13"/>
      <c r="E213" s="17"/>
      <c r="F213" s="18">
        <f>IF(D213="","",D213*IF(E213="",1,E213))</f>
      </c>
      <c r="G213" s="10"/>
    </row>
    <row r="214" spans="1:7" x14ac:dyDescent="0.25">
      <c r="A214" s="7"/>
      <c r="B214" s="10"/>
      <c r="C214" s="10"/>
      <c r="D214" s="13"/>
      <c r="E214" s="17"/>
      <c r="F214" s="18">
        <f>IF(D214="","",D214*IF(E214="",1,E214))</f>
      </c>
      <c r="G214" s="10"/>
    </row>
    <row r="215" spans="1:7" x14ac:dyDescent="0.25">
      <c r="A215" s="7"/>
      <c r="B215" s="10"/>
      <c r="C215" s="10"/>
      <c r="D215" s="13"/>
      <c r="E215" s="17"/>
      <c r="F215" s="18">
        <f>IF(D215="","",D215*IF(E215="",1,E215))</f>
      </c>
      <c r="G215" s="10"/>
    </row>
    <row r="216" spans="1:7" x14ac:dyDescent="0.25">
      <c r="A216" s="7"/>
      <c r="B216" s="10"/>
      <c r="C216" s="10"/>
      <c r="D216" s="13"/>
      <c r="E216" s="17"/>
      <c r="F216" s="18">
        <f>IF(D216="","",D216*IF(E216="",1,E216))</f>
      </c>
      <c r="G216" s="10"/>
    </row>
    <row r="217" spans="1:7" x14ac:dyDescent="0.25">
      <c r="A217" s="7"/>
      <c r="B217" s="10"/>
      <c r="C217" s="10"/>
      <c r="D217" s="13"/>
      <c r="E217" s="17"/>
      <c r="F217" s="18">
        <f>IF(D217="","",D217*IF(E217="",1,E217))</f>
      </c>
      <c r="G217" s="10"/>
    </row>
    <row r="218" spans="1:7" x14ac:dyDescent="0.25">
      <c r="A218" s="7"/>
      <c r="B218" s="10"/>
      <c r="C218" s="10"/>
      <c r="D218" s="13"/>
      <c r="E218" s="17"/>
      <c r="F218" s="18">
        <f>IF(D218="","",D218*IF(E218="",1,E218))</f>
      </c>
      <c r="G218" s="10"/>
    </row>
    <row r="219" spans="1:7" x14ac:dyDescent="0.25">
      <c r="A219" s="7"/>
      <c r="B219" s="10"/>
      <c r="C219" s="10"/>
      <c r="D219" s="13"/>
      <c r="E219" s="17"/>
      <c r="F219" s="18">
        <f>IF(D219="","",D219*IF(E219="",1,E219))</f>
      </c>
      <c r="G219" s="10"/>
    </row>
    <row r="220" spans="1:7" x14ac:dyDescent="0.25">
      <c r="A220" s="7"/>
      <c r="B220" s="10"/>
      <c r="C220" s="10"/>
      <c r="D220" s="13"/>
      <c r="E220" s="17"/>
      <c r="F220" s="18">
        <f>IF(D220="","",D220*IF(E220="",1,E220))</f>
      </c>
      <c r="G220" s="10"/>
    </row>
    <row r="221" spans="1:7" x14ac:dyDescent="0.25">
      <c r="A221" s="7"/>
      <c r="B221" s="10"/>
      <c r="C221" s="10"/>
      <c r="D221" s="13"/>
      <c r="E221" s="17"/>
      <c r="F221" s="18">
        <f>IF(D221="","",D221*IF(E221="",1,E221))</f>
      </c>
      <c r="G221" s="10"/>
    </row>
    <row r="222" spans="1:7" x14ac:dyDescent="0.25">
      <c r="A222" s="7"/>
      <c r="B222" s="10"/>
      <c r="C222" s="10"/>
      <c r="D222" s="13"/>
      <c r="E222" s="17"/>
      <c r="F222" s="18">
        <f>IF(D222="","",D222*IF(E222="",1,E222))</f>
      </c>
      <c r="G222" s="10"/>
    </row>
    <row r="223" spans="1:7" x14ac:dyDescent="0.25">
      <c r="A223" s="7"/>
      <c r="B223" s="10"/>
      <c r="C223" s="10"/>
      <c r="D223" s="13"/>
      <c r="E223" s="17"/>
      <c r="F223" s="18">
        <f>IF(D223="","",D223*IF(E223="",1,E223))</f>
      </c>
      <c r="G223" s="10"/>
    </row>
    <row r="224" spans="1:7" x14ac:dyDescent="0.25">
      <c r="A224" s="7"/>
      <c r="B224" s="10"/>
      <c r="C224" s="10"/>
      <c r="D224" s="13"/>
      <c r="E224" s="17"/>
      <c r="F224" s="18">
        <f>IF(D224="","",D224*IF(E224="",1,E224))</f>
      </c>
      <c r="G224" s="10"/>
    </row>
    <row r="225" spans="1:7" x14ac:dyDescent="0.25">
      <c r="A225" s="7"/>
      <c r="B225" s="10"/>
      <c r="C225" s="10"/>
      <c r="D225" s="13"/>
      <c r="E225" s="17"/>
      <c r="F225" s="18">
        <f>IF(D225="","",D225*IF(E225="",1,E225))</f>
      </c>
      <c r="G225" s="10"/>
    </row>
    <row r="226" spans="1:7" x14ac:dyDescent="0.25">
      <c r="A226" s="7"/>
      <c r="B226" s="10"/>
      <c r="C226" s="10"/>
      <c r="D226" s="13"/>
      <c r="E226" s="17"/>
      <c r="F226" s="18">
        <f>IF(D226="","",D226*IF(E226="",1,E226))</f>
      </c>
      <c r="G226" s="10"/>
    </row>
    <row r="227" spans="1:7" x14ac:dyDescent="0.25">
      <c r="A227" s="7"/>
      <c r="B227" s="10"/>
      <c r="C227" s="10"/>
      <c r="D227" s="13"/>
      <c r="E227" s="17"/>
      <c r="F227" s="18">
        <f>IF(D227="","",D227*IF(E227="",1,E227))</f>
      </c>
      <c r="G227" s="10"/>
    </row>
    <row r="228" spans="1:7" x14ac:dyDescent="0.25">
      <c r="A228" s="7"/>
      <c r="B228" s="10"/>
      <c r="C228" s="10"/>
      <c r="D228" s="13"/>
      <c r="E228" s="17"/>
      <c r="F228" s="18">
        <f>IF(D228="","",D228*IF(E228="",1,E228))</f>
      </c>
      <c r="G228" s="10"/>
    </row>
    <row r="229" spans="1:7" x14ac:dyDescent="0.25">
      <c r="A229" s="7"/>
      <c r="B229" s="10"/>
      <c r="C229" s="10"/>
      <c r="D229" s="13"/>
      <c r="E229" s="17"/>
      <c r="F229" s="18">
        <f>IF(D229="","",D229*IF(E229="",1,E229))</f>
      </c>
      <c r="G229" s="10"/>
    </row>
    <row r="230" spans="1:7" x14ac:dyDescent="0.25">
      <c r="A230" s="7"/>
      <c r="B230" s="10"/>
      <c r="C230" s="10"/>
      <c r="D230" s="13"/>
      <c r="E230" s="17"/>
      <c r="F230" s="18">
        <f>IF(D230="","",D230*IF(E230="",1,E230))</f>
      </c>
      <c r="G230" s="10"/>
    </row>
    <row r="231" spans="1:7" x14ac:dyDescent="0.25">
      <c r="A231" s="7"/>
      <c r="B231" s="10"/>
      <c r="C231" s="10"/>
      <c r="D231" s="13"/>
      <c r="E231" s="17"/>
      <c r="F231" s="18">
        <f>IF(D231="","",D231*IF(E231="",1,E231))</f>
      </c>
      <c r="G231" s="10"/>
    </row>
    <row r="232" spans="1:7" x14ac:dyDescent="0.25">
      <c r="A232" s="7"/>
      <c r="B232" s="10"/>
      <c r="C232" s="10"/>
      <c r="D232" s="13"/>
      <c r="E232" s="17"/>
      <c r="F232" s="18">
        <f>IF(D232="","",D232*IF(E232="",1,E232))</f>
      </c>
      <c r="G232" s="10"/>
    </row>
    <row r="233" spans="1:7" x14ac:dyDescent="0.25">
      <c r="A233" s="7"/>
      <c r="B233" s="10"/>
      <c r="C233" s="10"/>
      <c r="D233" s="13"/>
      <c r="E233" s="17"/>
      <c r="F233" s="18">
        <f>IF(D233="","",D233*IF(E233="",1,E233))</f>
      </c>
      <c r="G233" s="10"/>
    </row>
    <row r="234" spans="1:7" x14ac:dyDescent="0.25">
      <c r="A234" s="7"/>
      <c r="B234" s="10"/>
      <c r="C234" s="10"/>
      <c r="D234" s="13"/>
      <c r="E234" s="17"/>
      <c r="F234" s="18">
        <f>IF(D234="","",D234*IF(E234="",1,E234))</f>
      </c>
      <c r="G234" s="10"/>
    </row>
    <row r="235" spans="1:7" x14ac:dyDescent="0.25">
      <c r="A235" s="7"/>
      <c r="B235" s="10"/>
      <c r="C235" s="10"/>
      <c r="D235" s="13"/>
      <c r="E235" s="17"/>
      <c r="F235" s="18">
        <f>IF(D235="","",D235*IF(E235="",1,E235))</f>
      </c>
      <c r="G235" s="10"/>
    </row>
    <row r="236" spans="1:7" x14ac:dyDescent="0.25">
      <c r="A236" s="7"/>
      <c r="B236" s="10"/>
      <c r="C236" s="10"/>
      <c r="D236" s="13"/>
      <c r="E236" s="17"/>
      <c r="F236" s="18">
        <f>IF(D236="","",D236*IF(E236="",1,E236))</f>
      </c>
      <c r="G236" s="10"/>
    </row>
    <row r="237" spans="1:7" x14ac:dyDescent="0.25">
      <c r="A237" s="7"/>
      <c r="B237" s="10"/>
      <c r="C237" s="10"/>
      <c r="D237" s="13"/>
      <c r="E237" s="17"/>
      <c r="F237" s="18">
        <f>IF(D237="","",D237*IF(E237="",1,E237))</f>
      </c>
      <c r="G237" s="10"/>
    </row>
    <row r="238" spans="1:7" x14ac:dyDescent="0.25">
      <c r="A238" s="7"/>
      <c r="B238" s="10"/>
      <c r="C238" s="10"/>
      <c r="D238" s="13"/>
      <c r="E238" s="17"/>
      <c r="F238" s="18">
        <f>IF(D238="","",D238*IF(E238="",1,E238))</f>
      </c>
      <c r="G238" s="10"/>
    </row>
    <row r="239" spans="1:7" x14ac:dyDescent="0.25">
      <c r="A239" s="7"/>
      <c r="B239" s="10"/>
      <c r="C239" s="10"/>
      <c r="D239" s="13"/>
      <c r="E239" s="17"/>
      <c r="F239" s="18">
        <f>IF(D239="","",D239*IF(E239="",1,E239))</f>
      </c>
      <c r="G239" s="10"/>
    </row>
    <row r="240" spans="1:7" x14ac:dyDescent="0.25">
      <c r="A240" s="7"/>
      <c r="B240" s="10"/>
      <c r="C240" s="10"/>
      <c r="D240" s="13"/>
      <c r="E240" s="17"/>
      <c r="F240" s="18">
        <f>IF(D240="","",D240*IF(E240="",1,E240))</f>
      </c>
      <c r="G240" s="10"/>
    </row>
    <row r="241" spans="1:7" x14ac:dyDescent="0.25">
      <c r="A241" s="7"/>
      <c r="B241" s="10"/>
      <c r="C241" s="10"/>
      <c r="D241" s="13"/>
      <c r="E241" s="17"/>
      <c r="F241" s="18">
        <f>IF(D241="","",D241*IF(E241="",1,E241))</f>
      </c>
      <c r="G241" s="10"/>
    </row>
    <row r="242" spans="1:7" x14ac:dyDescent="0.25">
      <c r="A242" s="7"/>
      <c r="B242" s="10"/>
      <c r="C242" s="10"/>
      <c r="D242" s="13"/>
      <c r="E242" s="17"/>
      <c r="F242" s="18">
        <f>IF(D242="","",D242*IF(E242="",1,E242))</f>
      </c>
      <c r="G242" s="10"/>
    </row>
    <row r="243" spans="1:7" x14ac:dyDescent="0.25">
      <c r="A243" s="7"/>
      <c r="B243" s="10"/>
      <c r="C243" s="10"/>
      <c r="D243" s="13"/>
      <c r="E243" s="17"/>
      <c r="F243" s="18">
        <f>IF(D243="","",D243*IF(E243="",1,E243))</f>
      </c>
      <c r="G243" s="10"/>
    </row>
    <row r="244" spans="1:7" x14ac:dyDescent="0.25">
      <c r="A244" s="7"/>
      <c r="B244" s="10"/>
      <c r="C244" s="10"/>
      <c r="D244" s="13"/>
      <c r="E244" s="17"/>
      <c r="F244" s="18">
        <f>IF(D244="","",D244*IF(E244="",1,E244))</f>
      </c>
      <c r="G244" s="10"/>
    </row>
    <row r="245" spans="1:7" x14ac:dyDescent="0.25">
      <c r="A245" s="7"/>
      <c r="B245" s="10"/>
      <c r="C245" s="10"/>
      <c r="D245" s="13"/>
      <c r="E245" s="17"/>
      <c r="F245" s="18">
        <f>IF(D245="","",D245*IF(E245="",1,E245))</f>
      </c>
      <c r="G245" s="10"/>
    </row>
    <row r="246" spans="1:7" x14ac:dyDescent="0.25">
      <c r="A246" s="7"/>
      <c r="B246" s="10"/>
      <c r="C246" s="10"/>
      <c r="D246" s="13"/>
      <c r="E246" s="17"/>
      <c r="F246" s="18">
        <f>IF(D246="","",D246*IF(E246="",1,E246))</f>
      </c>
      <c r="G246" s="10"/>
    </row>
    <row r="247" spans="1:7" x14ac:dyDescent="0.25">
      <c r="A247" s="7"/>
      <c r="B247" s="10"/>
      <c r="C247" s="10"/>
      <c r="D247" s="13"/>
      <c r="E247" s="17"/>
      <c r="F247" s="18">
        <f>IF(D247="","",D247*IF(E247="",1,E247))</f>
      </c>
      <c r="G247" s="10"/>
    </row>
    <row r="248" spans="1:7" x14ac:dyDescent="0.25">
      <c r="A248" s="7"/>
      <c r="B248" s="10"/>
      <c r="C248" s="10"/>
      <c r="D248" s="13"/>
      <c r="E248" s="17"/>
      <c r="F248" s="18">
        <f>IF(D248="","",D248*IF(E248="",1,E248))</f>
      </c>
      <c r="G248" s="10"/>
    </row>
    <row r="249" spans="1:7" x14ac:dyDescent="0.25">
      <c r="A249" s="7"/>
      <c r="B249" s="10"/>
      <c r="C249" s="10"/>
      <c r="D249" s="13"/>
      <c r="E249" s="17"/>
      <c r="F249" s="18">
        <f>IF(D249="","",D249*IF(E249="",1,E249))</f>
      </c>
      <c r="G249" s="10"/>
    </row>
    <row r="250" spans="1:7" x14ac:dyDescent="0.25">
      <c r="A250" s="7"/>
      <c r="B250" s="10"/>
      <c r="C250" s="10"/>
      <c r="D250" s="13"/>
      <c r="E250" s="17"/>
      <c r="F250" s="18">
        <f>IF(D250="","",D250*IF(E250="",1,E250))</f>
      </c>
      <c r="G250" s="10"/>
    </row>
    <row r="251" spans="1:7" x14ac:dyDescent="0.25">
      <c r="A251" s="7"/>
      <c r="B251" s="10"/>
      <c r="C251" s="10"/>
      <c r="D251" s="13"/>
      <c r="E251" s="17"/>
      <c r="F251" s="18">
        <f>IF(D251="","",D251*IF(E251="",1,E251))</f>
      </c>
      <c r="G251" s="10"/>
    </row>
    <row r="252" spans="1:7" x14ac:dyDescent="0.25">
      <c r="A252" s="7"/>
      <c r="B252" s="10"/>
      <c r="C252" s="10"/>
      <c r="D252" s="13"/>
      <c r="E252" s="17"/>
      <c r="F252" s="18">
        <f>IF(D252="","",D252*IF(E252="",1,E252))</f>
      </c>
      <c r="G252" s="10"/>
    </row>
    <row r="253" spans="1:7" x14ac:dyDescent="0.25">
      <c r="A253" s="7"/>
      <c r="B253" s="10"/>
      <c r="C253" s="10"/>
      <c r="D253" s="13"/>
      <c r="E253" s="17"/>
      <c r="F253" s="18">
        <f>IF(D253="","",D253*IF(E253="",1,E253))</f>
      </c>
      <c r="G253" s="10"/>
    </row>
    <row r="254" spans="1:7" x14ac:dyDescent="0.25">
      <c r="A254" s="7"/>
      <c r="B254" s="10"/>
      <c r="C254" s="10"/>
      <c r="D254" s="13"/>
      <c r="E254" s="17"/>
      <c r="F254" s="18">
        <f>IF(D254="","",D254*IF(E254="",1,E254))</f>
      </c>
      <c r="G254" s="10"/>
    </row>
    <row r="255" spans="1:7" x14ac:dyDescent="0.25">
      <c r="A255" s="7"/>
      <c r="B255" s="10"/>
      <c r="C255" s="10"/>
      <c r="D255" s="13"/>
      <c r="E255" s="17"/>
      <c r="F255" s="18">
        <f>IF(D255="","",D255*IF(E255="",1,E255))</f>
      </c>
      <c r="G255" s="10"/>
    </row>
    <row r="256" spans="1:7" x14ac:dyDescent="0.25">
      <c r="A256" s="7"/>
      <c r="B256" s="10"/>
      <c r="C256" s="10"/>
      <c r="D256" s="13"/>
      <c r="E256" s="17"/>
      <c r="F256" s="18">
        <f>IF(D256="","",D256*IF(E256="",1,E256))</f>
      </c>
      <c r="G256" s="10"/>
    </row>
    <row r="257" spans="1:7" x14ac:dyDescent="0.25">
      <c r="A257" s="7"/>
      <c r="B257" s="10"/>
      <c r="C257" s="10"/>
      <c r="D257" s="13"/>
      <c r="E257" s="17"/>
      <c r="F257" s="18">
        <f>IF(D257="","",D257*IF(E257="",1,E257))</f>
      </c>
      <c r="G257" s="10"/>
    </row>
    <row r="258" spans="1:7" x14ac:dyDescent="0.25">
      <c r="A258" s="7"/>
      <c r="B258" s="10"/>
      <c r="C258" s="10"/>
      <c r="D258" s="13"/>
      <c r="E258" s="17"/>
      <c r="F258" s="18">
        <f>IF(D258="","",D258*IF(E258="",1,E258))</f>
      </c>
      <c r="G258" s="10"/>
    </row>
    <row r="259" spans="1:7" x14ac:dyDescent="0.25">
      <c r="A259" s="7"/>
      <c r="B259" s="10"/>
      <c r="C259" s="10"/>
      <c r="D259" s="13"/>
      <c r="E259" s="17"/>
      <c r="F259" s="18">
        <f>IF(D259="","",D259*IF(E259="",1,E259))</f>
      </c>
      <c r="G259" s="10"/>
    </row>
    <row r="260" spans="1:7" x14ac:dyDescent="0.25">
      <c r="A260" s="7"/>
      <c r="B260" s="10"/>
      <c r="C260" s="10"/>
      <c r="D260" s="13"/>
      <c r="E260" s="17"/>
      <c r="F260" s="18">
        <f>IF(D260="","",D260*IF(E260="",1,E260))</f>
      </c>
      <c r="G260" s="10"/>
    </row>
    <row r="261" spans="1:7" x14ac:dyDescent="0.25">
      <c r="A261" s="7"/>
      <c r="B261" s="10"/>
      <c r="C261" s="10"/>
      <c r="D261" s="13"/>
      <c r="E261" s="17"/>
      <c r="F261" s="18">
        <f>IF(D261="","",D261*IF(E261="",1,E261))</f>
      </c>
      <c r="G261" s="10"/>
    </row>
    <row r="262" spans="1:7" x14ac:dyDescent="0.25">
      <c r="A262" s="7"/>
      <c r="B262" s="10"/>
      <c r="C262" s="10"/>
      <c r="D262" s="13"/>
      <c r="E262" s="17"/>
      <c r="F262" s="18">
        <f>IF(D262="","",D262*IF(E262="",1,E262))</f>
      </c>
      <c r="G262" s="10"/>
    </row>
    <row r="263" spans="1:7" x14ac:dyDescent="0.25">
      <c r="A263" s="7"/>
      <c r="B263" s="10"/>
      <c r="C263" s="10"/>
      <c r="D263" s="13"/>
      <c r="E263" s="17"/>
      <c r="F263" s="18">
        <f>IF(D263="","",D263*IF(E263="",1,E263))</f>
      </c>
      <c r="G263" s="10"/>
    </row>
    <row r="264" spans="1:7" x14ac:dyDescent="0.25">
      <c r="A264" s="7"/>
      <c r="B264" s="10"/>
      <c r="C264" s="10"/>
      <c r="D264" s="13"/>
      <c r="E264" s="17"/>
      <c r="F264" s="18">
        <f>IF(D264="","",D264*IF(E264="",1,E264))</f>
      </c>
      <c r="G264" s="10"/>
    </row>
    <row r="265" spans="1:7" x14ac:dyDescent="0.25">
      <c r="A265" s="7"/>
      <c r="B265" s="10"/>
      <c r="C265" s="10"/>
      <c r="D265" s="13"/>
      <c r="E265" s="17"/>
      <c r="F265" s="18">
        <f>IF(D265="","",D265*IF(E265="",1,E265))</f>
      </c>
      <c r="G265" s="10"/>
    </row>
    <row r="266" spans="1:7" x14ac:dyDescent="0.25">
      <c r="A266" s="7"/>
      <c r="B266" s="10"/>
      <c r="C266" s="10"/>
      <c r="D266" s="13"/>
      <c r="E266" s="17"/>
      <c r="F266" s="18">
        <f>IF(D266="","",D266*IF(E266="",1,E266))</f>
      </c>
      <c r="G266" s="10"/>
    </row>
    <row r="267" spans="1:7" x14ac:dyDescent="0.25">
      <c r="A267" s="7"/>
      <c r="B267" s="10"/>
      <c r="C267" s="10"/>
      <c r="D267" s="13"/>
      <c r="E267" s="17"/>
      <c r="F267" s="18">
        <f>IF(D267="","",D267*IF(E267="",1,E267))</f>
      </c>
      <c r="G267" s="10"/>
    </row>
    <row r="268" spans="1:7" x14ac:dyDescent="0.25">
      <c r="A268" s="7"/>
      <c r="B268" s="10"/>
      <c r="C268" s="10"/>
      <c r="D268" s="13"/>
      <c r="E268" s="17"/>
      <c r="F268" s="18">
        <f>IF(D268="","",D268*IF(E268="",1,E268))</f>
      </c>
      <c r="G268" s="10"/>
    </row>
    <row r="269" spans="1:7" x14ac:dyDescent="0.25">
      <c r="A269" s="7"/>
      <c r="B269" s="10"/>
      <c r="C269" s="10"/>
      <c r="D269" s="13"/>
      <c r="E269" s="17"/>
      <c r="F269" s="18">
        <f>IF(D269="","",D269*IF(E269="",1,E269))</f>
      </c>
      <c r="G269" s="10"/>
    </row>
    <row r="270" spans="1:7" x14ac:dyDescent="0.25">
      <c r="A270" s="7"/>
      <c r="B270" s="10"/>
      <c r="C270" s="10"/>
      <c r="D270" s="13"/>
      <c r="E270" s="17"/>
      <c r="F270" s="18">
        <f>IF(D270="","",D270*IF(E270="",1,E270))</f>
      </c>
      <c r="G270" s="10"/>
    </row>
    <row r="271" spans="1:7" x14ac:dyDescent="0.25">
      <c r="A271" s="7"/>
      <c r="B271" s="10"/>
      <c r="C271" s="10"/>
      <c r="D271" s="13"/>
      <c r="E271" s="17"/>
      <c r="F271" s="18">
        <f>IF(D271="","",D271*IF(E271="",1,E271))</f>
      </c>
      <c r="G271" s="10"/>
    </row>
    <row r="272" spans="1:7" x14ac:dyDescent="0.25">
      <c r="A272" s="7"/>
      <c r="B272" s="10"/>
      <c r="C272" s="10"/>
      <c r="D272" s="13"/>
      <c r="E272" s="17"/>
      <c r="F272" s="18">
        <f>IF(D272="","",D272*IF(E272="",1,E272))</f>
      </c>
      <c r="G272" s="10"/>
    </row>
    <row r="273" spans="1:7" x14ac:dyDescent="0.25">
      <c r="A273" s="7"/>
      <c r="B273" s="10"/>
      <c r="C273" s="10"/>
      <c r="D273" s="13"/>
      <c r="E273" s="17"/>
      <c r="F273" s="18">
        <f>IF(D273="","",D273*IF(E273="",1,E273))</f>
      </c>
      <c r="G273" s="10"/>
    </row>
    <row r="274" spans="1:7" x14ac:dyDescent="0.25">
      <c r="A274" s="7"/>
      <c r="B274" s="10"/>
      <c r="C274" s="10"/>
      <c r="D274" s="13"/>
      <c r="E274" s="17"/>
      <c r="F274" s="18">
        <f>IF(D274="","",D274*IF(E274="",1,E274))</f>
      </c>
      <c r="G274" s="10"/>
    </row>
    <row r="275" spans="1:7" x14ac:dyDescent="0.25">
      <c r="A275" s="7"/>
      <c r="B275" s="10"/>
      <c r="C275" s="10"/>
      <c r="D275" s="13"/>
      <c r="E275" s="17"/>
      <c r="F275" s="18">
        <f>IF(D275="","",D275*IF(E275="",1,E275))</f>
      </c>
      <c r="G275" s="10"/>
    </row>
    <row r="276" spans="1:7" x14ac:dyDescent="0.25">
      <c r="A276" s="7"/>
      <c r="B276" s="10"/>
      <c r="C276" s="10"/>
      <c r="D276" s="13"/>
      <c r="E276" s="17"/>
      <c r="F276" s="18">
        <f>IF(D276="","",D276*IF(E276="",1,E276))</f>
      </c>
      <c r="G276" s="10"/>
    </row>
    <row r="277" spans="1:7" x14ac:dyDescent="0.25">
      <c r="A277" s="7"/>
      <c r="B277" s="10"/>
      <c r="C277" s="10"/>
      <c r="D277" s="13"/>
      <c r="E277" s="17"/>
      <c r="F277" s="18">
        <f>IF(D277="","",D277*IF(E277="",1,E277))</f>
      </c>
      <c r="G277" s="10"/>
    </row>
    <row r="278" spans="1:7" x14ac:dyDescent="0.25">
      <c r="A278" s="7"/>
      <c r="B278" s="10"/>
      <c r="C278" s="10"/>
      <c r="D278" s="13"/>
      <c r="E278" s="17"/>
      <c r="F278" s="18">
        <f>IF(D278="","",D278*IF(E278="",1,E278))</f>
      </c>
      <c r="G278" s="10"/>
    </row>
    <row r="279" spans="1:7" x14ac:dyDescent="0.25">
      <c r="A279" s="7"/>
      <c r="B279" s="10"/>
      <c r="C279" s="10"/>
      <c r="D279" s="13"/>
      <c r="E279" s="17"/>
      <c r="F279" s="18">
        <f>IF(D279="","",D279*IF(E279="",1,E279))</f>
      </c>
      <c r="G279" s="10"/>
    </row>
    <row r="280" spans="1:7" x14ac:dyDescent="0.25">
      <c r="A280" s="7"/>
      <c r="B280" s="10"/>
      <c r="C280" s="10"/>
      <c r="D280" s="13"/>
      <c r="E280" s="17"/>
      <c r="F280" s="18">
        <f>IF(D280="","",D280*IF(E280="",1,E280))</f>
      </c>
      <c r="G280" s="10"/>
    </row>
    <row r="281" spans="1:7" x14ac:dyDescent="0.25">
      <c r="A281" s="7"/>
      <c r="B281" s="10"/>
      <c r="C281" s="10"/>
      <c r="D281" s="13"/>
      <c r="E281" s="17"/>
      <c r="F281" s="18">
        <f>IF(D281="","",D281*IF(E281="",1,E281))</f>
      </c>
      <c r="G281" s="10"/>
    </row>
    <row r="282" spans="1:7" x14ac:dyDescent="0.25">
      <c r="A282" s="7"/>
      <c r="B282" s="10"/>
      <c r="C282" s="10"/>
      <c r="D282" s="13"/>
      <c r="E282" s="17"/>
      <c r="F282" s="18">
        <f>IF(D282="","",D282*IF(E282="",1,E282))</f>
      </c>
      <c r="G282" s="10"/>
    </row>
    <row r="283" spans="1:7" x14ac:dyDescent="0.25">
      <c r="A283" s="7"/>
      <c r="B283" s="10"/>
      <c r="C283" s="10"/>
      <c r="D283" s="13"/>
      <c r="E283" s="17"/>
      <c r="F283" s="18">
        <f>IF(D283="","",D283*IF(E283="",1,E283))</f>
      </c>
      <c r="G283" s="10"/>
    </row>
    <row r="284" spans="1:7" x14ac:dyDescent="0.25">
      <c r="A284" s="7"/>
      <c r="B284" s="10"/>
      <c r="C284" s="10"/>
      <c r="D284" s="13"/>
      <c r="E284" s="17"/>
      <c r="F284" s="18">
        <f>IF(D284="","",D284*IF(E284="",1,E284))</f>
      </c>
      <c r="G284" s="10"/>
    </row>
    <row r="285" spans="1:7" x14ac:dyDescent="0.25">
      <c r="A285" s="7"/>
      <c r="B285" s="10"/>
      <c r="C285" s="10"/>
      <c r="D285" s="13"/>
      <c r="E285" s="17"/>
      <c r="F285" s="18">
        <f>IF(D285="","",D285*IF(E285="",1,E285))</f>
      </c>
      <c r="G285" s="10"/>
    </row>
    <row r="286" spans="1:7" x14ac:dyDescent="0.25">
      <c r="A286" s="7"/>
      <c r="B286" s="10"/>
      <c r="C286" s="10"/>
      <c r="D286" s="13"/>
      <c r="E286" s="17"/>
      <c r="F286" s="18">
        <f>IF(D286="","",D286*IF(E286="",1,E286))</f>
      </c>
      <c r="G286" s="10"/>
    </row>
    <row r="287" spans="1:7" x14ac:dyDescent="0.25">
      <c r="A287" s="7"/>
      <c r="B287" s="10"/>
      <c r="C287" s="10"/>
      <c r="D287" s="13"/>
      <c r="E287" s="17"/>
      <c r="F287" s="18">
        <f>IF(D287="","",D287*IF(E287="",1,E287))</f>
      </c>
      <c r="G287" s="10"/>
    </row>
    <row r="288" spans="1:7" x14ac:dyDescent="0.25">
      <c r="A288" s="7"/>
      <c r="B288" s="10"/>
      <c r="C288" s="10"/>
      <c r="D288" s="13"/>
      <c r="E288" s="17"/>
      <c r="F288" s="18">
        <f>IF(D288="","",D288*IF(E288="",1,E288))</f>
      </c>
      <c r="G288" s="10"/>
    </row>
    <row r="289" spans="1:7" x14ac:dyDescent="0.25">
      <c r="A289" s="7"/>
      <c r="B289" s="10"/>
      <c r="C289" s="10"/>
      <c r="D289" s="13"/>
      <c r="E289" s="17"/>
      <c r="F289" s="18">
        <f>IF(D289="","",D289*IF(E289="",1,E289))</f>
      </c>
      <c r="G289" s="10"/>
    </row>
    <row r="290" spans="1:7" x14ac:dyDescent="0.25">
      <c r="A290" s="7"/>
      <c r="B290" s="10"/>
      <c r="C290" s="10"/>
      <c r="D290" s="13"/>
      <c r="E290" s="17"/>
      <c r="F290" s="18">
        <f>IF(D290="","",D290*IF(E290="",1,E290))</f>
      </c>
      <c r="G290" s="10"/>
    </row>
    <row r="291" spans="1:7" x14ac:dyDescent="0.25">
      <c r="A291" s="7"/>
      <c r="B291" s="10"/>
      <c r="C291" s="10"/>
      <c r="D291" s="13"/>
      <c r="E291" s="17"/>
      <c r="F291" s="18">
        <f>IF(D291="","",D291*IF(E291="",1,E291))</f>
      </c>
      <c r="G291" s="10"/>
    </row>
    <row r="292" spans="1:7" x14ac:dyDescent="0.25">
      <c r="A292" s="7"/>
      <c r="B292" s="10"/>
      <c r="C292" s="10"/>
      <c r="D292" s="13"/>
      <c r="E292" s="17"/>
      <c r="F292" s="18">
        <f>IF(D292="","",D292*IF(E292="",1,E292))</f>
      </c>
      <c r="G292" s="10"/>
    </row>
    <row r="293" spans="1:7" x14ac:dyDescent="0.25">
      <c r="A293" s="7"/>
      <c r="B293" s="10"/>
      <c r="C293" s="10"/>
      <c r="D293" s="13"/>
      <c r="E293" s="17"/>
      <c r="F293" s="18">
        <f>IF(D293="","",D293*IF(E293="",1,E293))</f>
      </c>
      <c r="G293" s="10"/>
    </row>
    <row r="294" spans="1:7" x14ac:dyDescent="0.25">
      <c r="A294" s="7"/>
      <c r="B294" s="10"/>
      <c r="C294" s="10"/>
      <c r="D294" s="13"/>
      <c r="E294" s="17"/>
      <c r="F294" s="18">
        <f>IF(D294="","",D294*IF(E294="",1,E294))</f>
      </c>
      <c r="G294" s="10"/>
    </row>
    <row r="295" spans="1:7" x14ac:dyDescent="0.25">
      <c r="A295" s="7"/>
      <c r="B295" s="10"/>
      <c r="C295" s="10"/>
      <c r="D295" s="13"/>
      <c r="E295" s="17"/>
      <c r="F295" s="18">
        <f>IF(D295="","",D295*IF(E295="",1,E295))</f>
      </c>
      <c r="G295" s="10"/>
    </row>
    <row r="296" spans="1:7" x14ac:dyDescent="0.25">
      <c r="A296" s="7"/>
      <c r="B296" s="10"/>
      <c r="C296" s="10"/>
      <c r="D296" s="13"/>
      <c r="E296" s="17"/>
      <c r="F296" s="18">
        <f>IF(D296="","",D296*IF(E296="",1,E296))</f>
      </c>
      <c r="G296" s="10"/>
    </row>
    <row r="297" spans="1:7" x14ac:dyDescent="0.25">
      <c r="A297" s="7"/>
      <c r="B297" s="10"/>
      <c r="C297" s="10"/>
      <c r="D297" s="13"/>
      <c r="E297" s="17"/>
      <c r="F297" s="18">
        <f>IF(D297="","",D297*IF(E297="",1,E297))</f>
      </c>
      <c r="G297" s="10"/>
    </row>
    <row r="298" spans="1:7" x14ac:dyDescent="0.25">
      <c r="A298" s="7"/>
      <c r="B298" s="10"/>
      <c r="C298" s="10"/>
      <c r="D298" s="13"/>
      <c r="E298" s="17"/>
      <c r="F298" s="18">
        <f>IF(D298="","",D298*IF(E298="",1,E298))</f>
      </c>
      <c r="G298" s="10"/>
    </row>
    <row r="299" spans="1:7" x14ac:dyDescent="0.25">
      <c r="A299" s="7"/>
      <c r="B299" s="10"/>
      <c r="C299" s="10"/>
      <c r="D299" s="13"/>
      <c r="E299" s="17"/>
      <c r="F299" s="18">
        <f>IF(D299="","",D299*IF(E299="",1,E299))</f>
      </c>
      <c r="G299" s="10"/>
    </row>
    <row r="300" spans="1:7" x14ac:dyDescent="0.25">
      <c r="A300" s="7"/>
      <c r="B300" s="10"/>
      <c r="C300" s="10"/>
      <c r="D300" s="13"/>
      <c r="E300" s="17"/>
      <c r="F300" s="18">
        <f>IF(D300="","",D300*IF(E300="",1,E300))</f>
      </c>
      <c r="G300" s="10"/>
    </row>
    <row r="301" spans="1:7" x14ac:dyDescent="0.25">
      <c r="A301" s="7"/>
      <c r="B301" s="10"/>
      <c r="C301" s="10"/>
      <c r="D301" s="13"/>
      <c r="E301" s="17"/>
      <c r="F301" s="18">
        <f>IF(D301="","",D301*IF(E301="",1,E301))</f>
      </c>
      <c r="G301" s="10"/>
    </row>
    <row r="302" spans="1:7" x14ac:dyDescent="0.25">
      <c r="A302" s="7"/>
      <c r="B302" s="10"/>
      <c r="C302" s="10"/>
      <c r="D302" s="13"/>
      <c r="E302" s="17"/>
      <c r="F302" s="18">
        <f>IF(D302="","",D302*IF(E302="",1,E302))</f>
      </c>
      <c r="G302" s="10"/>
    </row>
    <row r="303" spans="1:7" x14ac:dyDescent="0.25">
      <c r="A303" s="7"/>
      <c r="B303" s="10"/>
      <c r="C303" s="10"/>
      <c r="D303" s="13"/>
      <c r="E303" s="17"/>
      <c r="F303" s="18">
        <f>IF(D303="","",D303*IF(E303="",1,E303))</f>
      </c>
      <c r="G303" s="10"/>
    </row>
    <row r="304" spans="1:7" x14ac:dyDescent="0.25">
      <c r="A304" s="7"/>
      <c r="B304" s="10"/>
      <c r="C304" s="10"/>
      <c r="D304" s="13"/>
      <c r="E304" s="17"/>
      <c r="F304" s="18">
        <f>IF(D304="","",D304*IF(E304="",1,E304))</f>
      </c>
      <c r="G304" s="10"/>
    </row>
    <row r="305" spans="1:7" x14ac:dyDescent="0.25">
      <c r="A305" s="7"/>
      <c r="B305" s="10"/>
      <c r="C305" s="10"/>
      <c r="D305" s="13"/>
      <c r="E305" s="17"/>
      <c r="F305" s="18">
        <f>IF(D305="","",D305*IF(E305="",1,E305))</f>
      </c>
      <c r="G305" s="10"/>
    </row>
    <row r="306" spans="1:7" x14ac:dyDescent="0.25">
      <c r="A306" s="7"/>
      <c r="B306" s="10"/>
      <c r="C306" s="10"/>
      <c r="D306" s="13"/>
      <c r="E306" s="17"/>
      <c r="F306" s="18">
        <f>IF(D306="","",D306*IF(E306="",1,E306))</f>
      </c>
      <c r="G306" s="10"/>
    </row>
    <row r="307" spans="1:7" x14ac:dyDescent="0.25">
      <c r="A307" s="7"/>
      <c r="B307" s="10"/>
      <c r="C307" s="10"/>
      <c r="D307" s="13"/>
      <c r="E307" s="17"/>
      <c r="F307" s="18">
        <f>IF(D307="","",D307*IF(E307="",1,E307))</f>
      </c>
      <c r="G307" s="10"/>
    </row>
    <row r="308" spans="1:7" x14ac:dyDescent="0.25">
      <c r="A308" s="7"/>
      <c r="B308" s="10"/>
      <c r="C308" s="10"/>
      <c r="D308" s="13"/>
      <c r="E308" s="17"/>
      <c r="F308" s="18">
        <f>IF(D308="","",D308*IF(E308="",1,E308))</f>
      </c>
      <c r="G308" s="10"/>
    </row>
    <row r="309" spans="1:7" x14ac:dyDescent="0.25">
      <c r="A309" s="7"/>
      <c r="B309" s="10"/>
      <c r="C309" s="10"/>
      <c r="D309" s="13"/>
      <c r="E309" s="17"/>
      <c r="F309" s="18">
        <f>IF(D309="","",D309*IF(E309="",1,E309))</f>
      </c>
      <c r="G309" s="10"/>
    </row>
    <row r="310" spans="1:7" x14ac:dyDescent="0.25">
      <c r="A310" s="7"/>
      <c r="B310" s="10"/>
      <c r="C310" s="10"/>
      <c r="D310" s="13"/>
      <c r="E310" s="17"/>
      <c r="F310" s="18">
        <f>IF(D310="","",D310*IF(E310="",1,E310))</f>
      </c>
      <c r="G310" s="10"/>
    </row>
    <row r="311" spans="1:7" x14ac:dyDescent="0.25">
      <c r="A311" s="7"/>
      <c r="B311" s="10"/>
      <c r="C311" s="10"/>
      <c r="D311" s="13"/>
      <c r="E311" s="17"/>
      <c r="F311" s="18">
        <f>IF(D311="","",D311*IF(E311="",1,E311))</f>
      </c>
      <c r="G311" s="10"/>
    </row>
    <row r="312" spans="1:7" x14ac:dyDescent="0.25">
      <c r="A312" s="7"/>
      <c r="B312" s="10"/>
      <c r="C312" s="10"/>
      <c r="D312" s="13"/>
      <c r="E312" s="17"/>
      <c r="F312" s="18">
        <f>IF(D312="","",D312*IF(E312="",1,E312))</f>
      </c>
      <c r="G312" s="10"/>
    </row>
    <row r="313" spans="1:7" x14ac:dyDescent="0.25">
      <c r="A313" s="7"/>
      <c r="B313" s="10"/>
      <c r="C313" s="10"/>
      <c r="D313" s="13"/>
      <c r="E313" s="17"/>
      <c r="F313" s="18">
        <f>IF(D313="","",D313*IF(E313="",1,E313))</f>
      </c>
      <c r="G313" s="10"/>
    </row>
    <row r="314" spans="1:7" x14ac:dyDescent="0.25">
      <c r="A314" s="7"/>
      <c r="B314" s="10"/>
      <c r="C314" s="10"/>
      <c r="D314" s="13"/>
      <c r="E314" s="17"/>
      <c r="F314" s="18">
        <f>IF(D314="","",D314*IF(E314="",1,E314))</f>
      </c>
      <c r="G314" s="10"/>
    </row>
    <row r="315" spans="1:7" x14ac:dyDescent="0.25">
      <c r="A315" s="7"/>
      <c r="B315" s="10"/>
      <c r="C315" s="10"/>
      <c r="D315" s="13"/>
      <c r="E315" s="17"/>
      <c r="F315" s="18">
        <f>IF(D315="","",D315*IF(E315="",1,E315))</f>
      </c>
      <c r="G315" s="10"/>
    </row>
    <row r="316" spans="1:7" x14ac:dyDescent="0.25">
      <c r="A316" s="7"/>
      <c r="B316" s="10"/>
      <c r="C316" s="10"/>
      <c r="D316" s="13"/>
      <c r="E316" s="17"/>
      <c r="F316" s="18">
        <f>IF(D316="","",D316*IF(E316="",1,E316))</f>
      </c>
      <c r="G316" s="10"/>
    </row>
    <row r="317" spans="1:7" x14ac:dyDescent="0.25">
      <c r="A317" s="7"/>
      <c r="B317" s="10"/>
      <c r="C317" s="10"/>
      <c r="D317" s="13"/>
      <c r="E317" s="17"/>
      <c r="F317" s="18">
        <f>IF(D317="","",D317*IF(E317="",1,E317))</f>
      </c>
      <c r="G317" s="10"/>
    </row>
    <row r="318" spans="1:7" x14ac:dyDescent="0.25">
      <c r="A318" s="7"/>
      <c r="B318" s="10"/>
      <c r="C318" s="10"/>
      <c r="D318" s="13"/>
      <c r="E318" s="17"/>
      <c r="F318" s="18">
        <f>IF(D318="","",D318*IF(E318="",1,E318))</f>
      </c>
      <c r="G318" s="10"/>
    </row>
    <row r="319" spans="1:7" x14ac:dyDescent="0.25">
      <c r="A319" s="7"/>
      <c r="B319" s="10"/>
      <c r="C319" s="10"/>
      <c r="D319" s="13"/>
      <c r="E319" s="17"/>
      <c r="F319" s="18">
        <f>IF(D319="","",D319*IF(E319="",1,E319))</f>
      </c>
      <c r="G319" s="10"/>
    </row>
    <row r="320" spans="1:7" x14ac:dyDescent="0.25">
      <c r="A320" s="7"/>
      <c r="B320" s="10"/>
      <c r="C320" s="10"/>
      <c r="D320" s="13"/>
      <c r="E320" s="17"/>
      <c r="F320" s="18">
        <f>IF(D320="","",D320*IF(E320="",1,E320))</f>
      </c>
      <c r="G320" s="10"/>
    </row>
    <row r="321" spans="1:7" x14ac:dyDescent="0.25">
      <c r="A321" s="7"/>
      <c r="B321" s="10"/>
      <c r="C321" s="10"/>
      <c r="D321" s="13"/>
      <c r="E321" s="17"/>
      <c r="F321" s="18">
        <f>IF(D321="","",D321*IF(E321="",1,E321))</f>
      </c>
      <c r="G321" s="10"/>
    </row>
    <row r="322" spans="1:7" x14ac:dyDescent="0.25">
      <c r="A322" s="7"/>
      <c r="B322" s="10"/>
      <c r="C322" s="10"/>
      <c r="D322" s="13"/>
      <c r="E322" s="17"/>
      <c r="F322" s="18">
        <f>IF(D322="","",D322*IF(E322="",1,E322))</f>
      </c>
      <c r="G322" s="10"/>
    </row>
    <row r="323" spans="1:7" x14ac:dyDescent="0.25">
      <c r="A323" s="7"/>
      <c r="B323" s="10"/>
      <c r="C323" s="10"/>
      <c r="D323" s="13"/>
      <c r="E323" s="17"/>
      <c r="F323" s="18">
        <f>IF(D323="","",D323*IF(E323="",1,E323))</f>
      </c>
      <c r="G323" s="10"/>
    </row>
    <row r="324" spans="1:7" x14ac:dyDescent="0.25">
      <c r="A324" s="7"/>
      <c r="B324" s="10"/>
      <c r="C324" s="10"/>
      <c r="D324" s="13"/>
      <c r="E324" s="17"/>
      <c r="F324" s="18">
        <f>IF(D324="","",D324*IF(E324="",1,E324))</f>
      </c>
      <c r="G324" s="10"/>
    </row>
    <row r="325" spans="1:7" x14ac:dyDescent="0.25">
      <c r="A325" s="7"/>
      <c r="B325" s="10"/>
      <c r="C325" s="10"/>
      <c r="D325" s="13"/>
      <c r="E325" s="17"/>
      <c r="F325" s="18">
        <f>IF(D325="","",D325*IF(E325="",1,E325))</f>
      </c>
      <c r="G325" s="10"/>
    </row>
    <row r="326" spans="1:7" x14ac:dyDescent="0.25">
      <c r="A326" s="7"/>
      <c r="B326" s="10"/>
      <c r="C326" s="10"/>
      <c r="D326" s="13"/>
      <c r="E326" s="17"/>
      <c r="F326" s="18">
        <f>IF(D326="","",D326*IF(E326="",1,E326))</f>
      </c>
      <c r="G326" s="10"/>
    </row>
    <row r="327" spans="1:7" x14ac:dyDescent="0.25">
      <c r="A327" s="7"/>
      <c r="B327" s="10"/>
      <c r="C327" s="10"/>
      <c r="D327" s="13"/>
      <c r="E327" s="17"/>
      <c r="F327" s="18">
        <f>IF(D327="","",D327*IF(E327="",1,E327))</f>
      </c>
      <c r="G327" s="10"/>
    </row>
    <row r="328" spans="1:7" x14ac:dyDescent="0.25">
      <c r="A328" s="7"/>
      <c r="B328" s="10"/>
      <c r="C328" s="10"/>
      <c r="D328" s="13"/>
      <c r="E328" s="17"/>
      <c r="F328" s="18">
        <f>IF(D328="","",D328*IF(E328="",1,E328))</f>
      </c>
      <c r="G328" s="10"/>
    </row>
    <row r="329" spans="1:7" x14ac:dyDescent="0.25">
      <c r="A329" s="7"/>
      <c r="B329" s="10"/>
      <c r="C329" s="10"/>
      <c r="D329" s="13"/>
      <c r="E329" s="17"/>
      <c r="F329" s="18">
        <f>IF(D329="","",D329*IF(E329="",1,E329))</f>
      </c>
      <c r="G329" s="10"/>
    </row>
    <row r="330" spans="1:7" x14ac:dyDescent="0.25">
      <c r="A330" s="7"/>
      <c r="B330" s="10"/>
      <c r="C330" s="10"/>
      <c r="D330" s="13"/>
      <c r="E330" s="17"/>
      <c r="F330" s="18">
        <f>IF(D330="","",D330*IF(E330="",1,E330))</f>
      </c>
      <c r="G330" s="10"/>
    </row>
    <row r="331" spans="1:7" x14ac:dyDescent="0.25">
      <c r="A331" s="7"/>
      <c r="B331" s="10"/>
      <c r="C331" s="10"/>
      <c r="D331" s="13"/>
      <c r="E331" s="17"/>
      <c r="F331" s="18">
        <f>IF(D331="","",D331*IF(E331="",1,E331))</f>
      </c>
      <c r="G331" s="10"/>
    </row>
    <row r="332" spans="1:7" x14ac:dyDescent="0.25">
      <c r="A332" s="7"/>
      <c r="B332" s="10"/>
      <c r="C332" s="10"/>
      <c r="D332" s="13"/>
      <c r="E332" s="17"/>
      <c r="F332" s="18">
        <f>IF(D332="","",D332*IF(E332="",1,E332))</f>
      </c>
      <c r="G332" s="10"/>
    </row>
    <row r="333" spans="1:7" x14ac:dyDescent="0.25">
      <c r="A333" s="7"/>
      <c r="B333" s="10"/>
      <c r="C333" s="10"/>
      <c r="D333" s="13"/>
      <c r="E333" s="17"/>
      <c r="F333" s="18">
        <f>IF(D333="","",D333*IF(E333="",1,E333))</f>
      </c>
      <c r="G333" s="10"/>
    </row>
    <row r="334" spans="1:7" x14ac:dyDescent="0.25">
      <c r="A334" s="7"/>
      <c r="B334" s="10"/>
      <c r="C334" s="10"/>
      <c r="D334" s="13"/>
      <c r="E334" s="17"/>
      <c r="F334" s="18">
        <f>IF(D334="","",D334*IF(E334="",1,E334))</f>
      </c>
      <c r="G334" s="10"/>
    </row>
    <row r="335" spans="1:7" x14ac:dyDescent="0.25">
      <c r="A335" s="7"/>
      <c r="B335" s="10"/>
      <c r="C335" s="10"/>
      <c r="D335" s="13"/>
      <c r="E335" s="17"/>
      <c r="F335" s="18">
        <f>IF(D335="","",D335*IF(E335="",1,E335))</f>
      </c>
      <c r="G335" s="10"/>
    </row>
    <row r="336" spans="1:7" x14ac:dyDescent="0.25">
      <c r="A336" s="7"/>
      <c r="B336" s="10"/>
      <c r="C336" s="10"/>
      <c r="D336" s="13"/>
      <c r="E336" s="17"/>
      <c r="F336" s="18">
        <f>IF(D336="","",D336*IF(E336="",1,E336))</f>
      </c>
      <c r="G336" s="10"/>
    </row>
    <row r="337" spans="1:7" x14ac:dyDescent="0.25">
      <c r="A337" s="7"/>
      <c r="B337" s="10"/>
      <c r="C337" s="10"/>
      <c r="D337" s="13"/>
      <c r="E337" s="17"/>
      <c r="F337" s="18">
        <f>IF(D337="","",D337*IF(E337="",1,E337))</f>
      </c>
      <c r="G337" s="10"/>
    </row>
    <row r="338" spans="1:7" x14ac:dyDescent="0.25">
      <c r="A338" s="7"/>
      <c r="B338" s="10"/>
      <c r="C338" s="10"/>
      <c r="D338" s="13"/>
      <c r="E338" s="17"/>
      <c r="F338" s="18">
        <f>IF(D338="","",D338*IF(E338="",1,E338))</f>
      </c>
      <c r="G338" s="10"/>
    </row>
    <row r="339" spans="1:7" x14ac:dyDescent="0.25">
      <c r="A339" s="7"/>
      <c r="B339" s="10"/>
      <c r="C339" s="10"/>
      <c r="D339" s="13"/>
      <c r="E339" s="17"/>
      <c r="F339" s="18">
        <f>IF(D339="","",D339*IF(E339="",1,E339))</f>
      </c>
      <c r="G339" s="10"/>
    </row>
    <row r="340" spans="1:7" x14ac:dyDescent="0.25">
      <c r="A340" s="7"/>
      <c r="B340" s="10"/>
      <c r="C340" s="10"/>
      <c r="D340" s="13"/>
      <c r="E340" s="17"/>
      <c r="F340" s="18">
        <f>IF(D340="","",D340*IF(E340="",1,E340))</f>
      </c>
      <c r="G340" s="10"/>
    </row>
    <row r="341" spans="1:7" x14ac:dyDescent="0.25">
      <c r="A341" s="7"/>
      <c r="B341" s="10"/>
      <c r="C341" s="10"/>
      <c r="D341" s="13"/>
      <c r="E341" s="17"/>
      <c r="F341" s="18">
        <f>IF(D341="","",D341*IF(E341="",1,E341))</f>
      </c>
      <c r="G341" s="10"/>
    </row>
    <row r="342" spans="1:7" x14ac:dyDescent="0.25">
      <c r="A342" s="7"/>
      <c r="B342" s="10"/>
      <c r="C342" s="10"/>
      <c r="D342" s="13"/>
      <c r="E342" s="17"/>
      <c r="F342" s="18">
        <f>IF(D342="","",D342*IF(E342="",1,E342))</f>
      </c>
      <c r="G342" s="10"/>
    </row>
    <row r="343" spans="1:7" x14ac:dyDescent="0.25">
      <c r="A343" s="7"/>
      <c r="B343" s="10"/>
      <c r="C343" s="10"/>
      <c r="D343" s="13"/>
      <c r="E343" s="17"/>
      <c r="F343" s="18">
        <f>IF(D343="","",D343*IF(E343="",1,E343))</f>
      </c>
      <c r="G343" s="10"/>
    </row>
    <row r="344" spans="1:7" x14ac:dyDescent="0.25">
      <c r="A344" s="7"/>
      <c r="B344" s="10"/>
      <c r="C344" s="10"/>
      <c r="D344" s="13"/>
      <c r="E344" s="17"/>
      <c r="F344" s="18">
        <f>IF(D344="","",D344*IF(E344="",1,E344))</f>
      </c>
      <c r="G344" s="10"/>
    </row>
    <row r="345" spans="1:7" x14ac:dyDescent="0.25">
      <c r="A345" s="7"/>
      <c r="B345" s="10"/>
      <c r="C345" s="10"/>
      <c r="D345" s="13"/>
      <c r="E345" s="17"/>
      <c r="F345" s="18">
        <f>IF(D345="","",D345*IF(E345="",1,E345))</f>
      </c>
      <c r="G345" s="10"/>
    </row>
    <row r="346" spans="1:7" x14ac:dyDescent="0.25">
      <c r="A346" s="7"/>
      <c r="B346" s="10"/>
      <c r="C346" s="10"/>
      <c r="D346" s="13"/>
      <c r="E346" s="17"/>
      <c r="F346" s="18">
        <f>IF(D346="","",D346*IF(E346="",1,E346))</f>
      </c>
      <c r="G346" s="10"/>
    </row>
    <row r="347" spans="1:7" x14ac:dyDescent="0.25">
      <c r="A347" s="7"/>
      <c r="B347" s="10"/>
      <c r="C347" s="10"/>
      <c r="D347" s="13"/>
      <c r="E347" s="17"/>
      <c r="F347" s="18">
        <f>IF(D347="","",D347*IF(E347="",1,E347))</f>
      </c>
      <c r="G347" s="10"/>
    </row>
    <row r="348" spans="1:7" x14ac:dyDescent="0.25">
      <c r="A348" s="7"/>
      <c r="B348" s="10"/>
      <c r="C348" s="10"/>
      <c r="D348" s="13"/>
      <c r="E348" s="17"/>
      <c r="F348" s="18">
        <f>IF(D348="","",D348*IF(E348="",1,E348))</f>
      </c>
      <c r="G348" s="10"/>
    </row>
    <row r="349" spans="1:7" x14ac:dyDescent="0.25">
      <c r="A349" s="7"/>
      <c r="B349" s="10"/>
      <c r="C349" s="10"/>
      <c r="D349" s="13"/>
      <c r="E349" s="17"/>
      <c r="F349" s="18">
        <f>IF(D349="","",D349*IF(E349="",1,E349))</f>
      </c>
      <c r="G349" s="10"/>
    </row>
    <row r="350" spans="1:7" x14ac:dyDescent="0.25">
      <c r="A350" s="7"/>
      <c r="B350" s="10"/>
      <c r="C350" s="10"/>
      <c r="D350" s="13"/>
      <c r="E350" s="17"/>
      <c r="F350" s="18">
        <f>IF(D350="","",D350*IF(E350="",1,E350))</f>
      </c>
      <c r="G350" s="10"/>
    </row>
    <row r="351" spans="1:7" x14ac:dyDescent="0.25">
      <c r="A351" s="7"/>
      <c r="B351" s="10"/>
      <c r="C351" s="10"/>
      <c r="D351" s="13"/>
      <c r="E351" s="17"/>
      <c r="F351" s="18">
        <f>IF(D351="","",D351*IF(E351="",1,E351))</f>
      </c>
      <c r="G351" s="10"/>
    </row>
    <row r="352" spans="1:7" x14ac:dyDescent="0.25">
      <c r="A352" s="7"/>
      <c r="B352" s="10"/>
      <c r="C352" s="10"/>
      <c r="D352" s="13"/>
      <c r="E352" s="17"/>
      <c r="F352" s="18">
        <f>IF(D352="","",D352*IF(E352="",1,E352))</f>
      </c>
      <c r="G352" s="10"/>
    </row>
    <row r="353" spans="1:7" x14ac:dyDescent="0.25">
      <c r="A353" s="7"/>
      <c r="B353" s="10"/>
      <c r="C353" s="10"/>
      <c r="D353" s="13"/>
      <c r="E353" s="17"/>
      <c r="F353" s="18">
        <f>IF(D353="","",D353*IF(E353="",1,E353))</f>
      </c>
      <c r="G353" s="10"/>
    </row>
    <row r="354" spans="1:7" x14ac:dyDescent="0.25">
      <c r="A354" s="7"/>
      <c r="B354" s="10"/>
      <c r="C354" s="10"/>
      <c r="D354" s="13"/>
      <c r="E354" s="17"/>
      <c r="F354" s="18">
        <f>IF(D354="","",D354*IF(E354="",1,E354))</f>
      </c>
      <c r="G354" s="10"/>
    </row>
    <row r="355" spans="1:7" x14ac:dyDescent="0.25">
      <c r="A355" s="7"/>
      <c r="B355" s="10"/>
      <c r="C355" s="10"/>
      <c r="D355" s="13"/>
      <c r="E355" s="17"/>
      <c r="F355" s="18">
        <f>IF(D355="","",D355*IF(E355="",1,E355))</f>
      </c>
      <c r="G355" s="10"/>
    </row>
    <row r="356" spans="1:7" x14ac:dyDescent="0.25">
      <c r="A356" s="7"/>
      <c r="B356" s="10"/>
      <c r="C356" s="10"/>
      <c r="D356" s="13"/>
      <c r="E356" s="17"/>
      <c r="F356" s="18">
        <f>IF(D356="","",D356*IF(E356="",1,E356))</f>
      </c>
      <c r="G356" s="10"/>
    </row>
    <row r="357" spans="1:7" x14ac:dyDescent="0.25">
      <c r="A357" s="7"/>
      <c r="B357" s="10"/>
      <c r="C357" s="10"/>
      <c r="D357" s="13"/>
      <c r="E357" s="17"/>
      <c r="F357" s="18">
        <f>IF(D357="","",D357*IF(E357="",1,E357))</f>
      </c>
      <c r="G357" s="10"/>
    </row>
    <row r="358" spans="1:7" x14ac:dyDescent="0.25">
      <c r="A358" s="7"/>
      <c r="B358" s="10"/>
      <c r="C358" s="10"/>
      <c r="D358" s="13"/>
      <c r="E358" s="17"/>
      <c r="F358" s="18">
        <f>IF(D358="","",D358*IF(E358="",1,E358))</f>
      </c>
      <c r="G358" s="10"/>
    </row>
    <row r="359" spans="1:7" x14ac:dyDescent="0.25">
      <c r="A359" s="7"/>
      <c r="B359" s="10"/>
      <c r="C359" s="10"/>
      <c r="D359" s="13"/>
      <c r="E359" s="17"/>
      <c r="F359" s="18">
        <f>IF(D359="","",D359*IF(E359="",1,E359))</f>
      </c>
      <c r="G359" s="10"/>
    </row>
    <row r="360" spans="1:7" x14ac:dyDescent="0.25">
      <c r="A360" s="7"/>
      <c r="B360" s="10"/>
      <c r="C360" s="10"/>
      <c r="D360" s="13"/>
      <c r="E360" s="17"/>
      <c r="F360" s="18">
        <f>IF(D360="","",D360*IF(E360="",1,E360))</f>
      </c>
      <c r="G360" s="10"/>
    </row>
    <row r="361" spans="1:7" x14ac:dyDescent="0.25">
      <c r="A361" s="7"/>
      <c r="B361" s="10"/>
      <c r="C361" s="10"/>
      <c r="D361" s="13"/>
      <c r="E361" s="17"/>
      <c r="F361" s="18">
        <f>IF(D361="","",D361*IF(E361="",1,E361))</f>
      </c>
      <c r="G361" s="10"/>
    </row>
    <row r="362" spans="1:7" x14ac:dyDescent="0.25">
      <c r="A362" s="7"/>
      <c r="B362" s="10"/>
      <c r="C362" s="10"/>
      <c r="D362" s="13"/>
      <c r="E362" s="17"/>
      <c r="F362" s="18">
        <f>IF(D362="","",D362*IF(E362="",1,E362))</f>
      </c>
      <c r="G362" s="10"/>
    </row>
    <row r="363" spans="1:7" x14ac:dyDescent="0.25">
      <c r="A363" s="7"/>
      <c r="B363" s="10"/>
      <c r="C363" s="10"/>
      <c r="D363" s="13"/>
      <c r="E363" s="17"/>
      <c r="F363" s="18">
        <f>IF(D363="","",D363*IF(E363="",1,E363))</f>
      </c>
      <c r="G363" s="10"/>
    </row>
    <row r="364" spans="1:7" x14ac:dyDescent="0.25">
      <c r="A364" s="7"/>
      <c r="B364" s="10"/>
      <c r="C364" s="10"/>
      <c r="D364" s="13"/>
      <c r="E364" s="17"/>
      <c r="F364" s="18">
        <f>IF(D364="","",D364*IF(E364="",1,E364))</f>
      </c>
      <c r="G364" s="10"/>
    </row>
    <row r="365" spans="1:7" x14ac:dyDescent="0.25">
      <c r="A365" s="7"/>
      <c r="B365" s="10"/>
      <c r="C365" s="10"/>
      <c r="D365" s="13"/>
      <c r="E365" s="17"/>
      <c r="F365" s="18">
        <f>IF(D365="","",D365*IF(E365="",1,E365))</f>
      </c>
      <c r="G365" s="10"/>
    </row>
    <row r="366" spans="1:7" x14ac:dyDescent="0.25">
      <c r="A366" s="7"/>
      <c r="B366" s="10"/>
      <c r="C366" s="10"/>
      <c r="D366" s="13"/>
      <c r="E366" s="17"/>
      <c r="F366" s="18">
        <f>IF(D366="","",D366*IF(E366="",1,E366))</f>
      </c>
      <c r="G366" s="10"/>
    </row>
    <row r="367" spans="1:7" x14ac:dyDescent="0.25">
      <c r="A367" s="7"/>
      <c r="B367" s="10"/>
      <c r="C367" s="10"/>
      <c r="D367" s="13"/>
      <c r="E367" s="17"/>
      <c r="F367" s="18">
        <f>IF(D367="","",D367*IF(E367="",1,E367))</f>
      </c>
      <c r="G367" s="10"/>
    </row>
    <row r="368" spans="1:7" x14ac:dyDescent="0.25">
      <c r="A368" s="7"/>
      <c r="B368" s="10"/>
      <c r="C368" s="10"/>
      <c r="D368" s="13"/>
      <c r="E368" s="17"/>
      <c r="F368" s="18">
        <f>IF(D368="","",D368*IF(E368="",1,E368))</f>
      </c>
      <c r="G368" s="10"/>
    </row>
    <row r="369" spans="1:7" x14ac:dyDescent="0.25">
      <c r="A369" s="7"/>
      <c r="B369" s="10"/>
      <c r="C369" s="10"/>
      <c r="D369" s="13"/>
      <c r="E369" s="17"/>
      <c r="F369" s="18">
        <f>IF(D369="","",D369*IF(E369="",1,E369))</f>
      </c>
      <c r="G369" s="10"/>
    </row>
    <row r="370" spans="1:7" x14ac:dyDescent="0.25">
      <c r="A370" s="7"/>
      <c r="B370" s="10"/>
      <c r="C370" s="10"/>
      <c r="D370" s="13"/>
      <c r="E370" s="17"/>
      <c r="F370" s="18">
        <f>IF(D370="","",D370*IF(E370="",1,E370))</f>
      </c>
      <c r="G370" s="10"/>
    </row>
    <row r="371" spans="1:7" x14ac:dyDescent="0.25">
      <c r="A371" s="7"/>
      <c r="B371" s="10"/>
      <c r="C371" s="10"/>
      <c r="D371" s="13"/>
      <c r="E371" s="17"/>
      <c r="F371" s="18">
        <f>IF(D371="","",D371*IF(E371="",1,E371))</f>
      </c>
      <c r="G371" s="10"/>
    </row>
    <row r="372" spans="1:7" x14ac:dyDescent="0.25">
      <c r="A372" s="7"/>
      <c r="B372" s="10"/>
      <c r="C372" s="10"/>
      <c r="D372" s="13"/>
      <c r="E372" s="17"/>
      <c r="F372" s="18">
        <f>IF(D372="","",D372*IF(E372="",1,E372))</f>
      </c>
      <c r="G372" s="10"/>
    </row>
    <row r="373" spans="1:7" x14ac:dyDescent="0.25">
      <c r="A373" s="7"/>
      <c r="B373" s="10"/>
      <c r="C373" s="10"/>
      <c r="D373" s="13"/>
      <c r="E373" s="17"/>
      <c r="F373" s="18">
        <f>IF(D373="","",D373*IF(E373="",1,E373))</f>
      </c>
      <c r="G373" s="10"/>
    </row>
    <row r="374" spans="1:7" x14ac:dyDescent="0.25">
      <c r="A374" s="7"/>
      <c r="B374" s="10"/>
      <c r="C374" s="10"/>
      <c r="D374" s="13"/>
      <c r="E374" s="17"/>
      <c r="F374" s="18">
        <f>IF(D374="","",D374*IF(E374="",1,E374))</f>
      </c>
      <c r="G374" s="10"/>
    </row>
    <row r="375" spans="1:7" x14ac:dyDescent="0.25">
      <c r="A375" s="7"/>
      <c r="B375" s="10"/>
      <c r="C375" s="10"/>
      <c r="D375" s="13"/>
      <c r="E375" s="17"/>
      <c r="F375" s="18">
        <f>IF(D375="","",D375*IF(E375="",1,E375))</f>
      </c>
      <c r="G375" s="10"/>
    </row>
    <row r="376" spans="1:7" x14ac:dyDescent="0.25">
      <c r="A376" s="7"/>
      <c r="B376" s="10"/>
      <c r="C376" s="10"/>
      <c r="D376" s="13"/>
      <c r="E376" s="17"/>
      <c r="F376" s="18">
        <f>IF(D376="","",D376*IF(E376="",1,E376))</f>
      </c>
      <c r="G376" s="10"/>
    </row>
    <row r="377" spans="1:7" x14ac:dyDescent="0.25">
      <c r="A377" s="7"/>
      <c r="B377" s="10"/>
      <c r="C377" s="10"/>
      <c r="D377" s="13"/>
      <c r="E377" s="17"/>
      <c r="F377" s="18">
        <f>IF(D377="","",D377*IF(E377="",1,E377))</f>
      </c>
      <c r="G377" s="10"/>
    </row>
    <row r="378" spans="1:7" x14ac:dyDescent="0.25">
      <c r="A378" s="7"/>
      <c r="B378" s="10"/>
      <c r="C378" s="10"/>
      <c r="D378" s="13"/>
      <c r="E378" s="17"/>
      <c r="F378" s="18">
        <f>IF(D378="","",D378*IF(E378="",1,E378))</f>
      </c>
      <c r="G378" s="10"/>
    </row>
    <row r="379" spans="1:7" x14ac:dyDescent="0.25">
      <c r="A379" s="7"/>
      <c r="B379" s="10"/>
      <c r="C379" s="10"/>
      <c r="D379" s="13"/>
      <c r="E379" s="17"/>
      <c r="F379" s="18">
        <f>IF(D379="","",D379*IF(E379="",1,E379))</f>
      </c>
      <c r="G379" s="10"/>
    </row>
    <row r="380" spans="1:7" x14ac:dyDescent="0.25">
      <c r="A380" s="7"/>
      <c r="B380" s="10"/>
      <c r="C380" s="10"/>
      <c r="D380" s="13"/>
      <c r="E380" s="17"/>
      <c r="F380" s="18">
        <f>IF(D380="","",D380*IF(E380="",1,E380))</f>
      </c>
      <c r="G380" s="10"/>
    </row>
    <row r="381" spans="1:7" x14ac:dyDescent="0.25">
      <c r="A381" s="7"/>
      <c r="B381" s="10"/>
      <c r="C381" s="10"/>
      <c r="D381" s="13"/>
      <c r="E381" s="17"/>
      <c r="F381" s="18">
        <f>IF(D381="","",D381*IF(E381="",1,E381))</f>
      </c>
      <c r="G381" s="10"/>
    </row>
    <row r="382" spans="1:7" x14ac:dyDescent="0.25">
      <c r="A382" s="7"/>
      <c r="B382" s="10"/>
      <c r="C382" s="10"/>
      <c r="D382" s="13"/>
      <c r="E382" s="17"/>
      <c r="F382" s="18">
        <f>IF(D382="","",D382*IF(E382="",1,E382))</f>
      </c>
      <c r="G382" s="10"/>
    </row>
    <row r="383" spans="1:7" x14ac:dyDescent="0.25">
      <c r="A383" s="7"/>
      <c r="B383" s="10"/>
      <c r="C383" s="10"/>
      <c r="D383" s="13"/>
      <c r="E383" s="17"/>
      <c r="F383" s="18">
        <f>IF(D383="","",D383*IF(E383="",1,E383))</f>
      </c>
      <c r="G383" s="10"/>
    </row>
    <row r="384" spans="1:7" x14ac:dyDescent="0.25">
      <c r="A384" s="7"/>
      <c r="B384" s="10"/>
      <c r="C384" s="10"/>
      <c r="D384" s="13"/>
      <c r="E384" s="17"/>
      <c r="F384" s="18">
        <f>IF(D384="","",D384*IF(E384="",1,E384))</f>
      </c>
      <c r="G384" s="10"/>
    </row>
    <row r="385" spans="1:7" x14ac:dyDescent="0.25">
      <c r="A385" s="7"/>
      <c r="B385" s="10"/>
      <c r="C385" s="10"/>
      <c r="D385" s="13"/>
      <c r="E385" s="17"/>
      <c r="F385" s="18">
        <f>IF(D385="","",D385*IF(E385="",1,E385))</f>
      </c>
      <c r="G385" s="10"/>
    </row>
    <row r="386" spans="1:7" x14ac:dyDescent="0.25">
      <c r="A386" s="7"/>
      <c r="B386" s="10"/>
      <c r="C386" s="10"/>
      <c r="D386" s="13"/>
      <c r="E386" s="17"/>
      <c r="F386" s="18">
        <f>IF(D386="","",D386*IF(E386="",1,E386))</f>
      </c>
      <c r="G386" s="10"/>
    </row>
    <row r="387" spans="1:7" x14ac:dyDescent="0.25">
      <c r="A387" s="7"/>
      <c r="B387" s="10"/>
      <c r="C387" s="10"/>
      <c r="D387" s="13"/>
      <c r="E387" s="17"/>
      <c r="F387" s="18">
        <f>IF(D387="","",D387*IF(E387="",1,E387))</f>
      </c>
      <c r="G387" s="10"/>
    </row>
    <row r="388" spans="1:7" x14ac:dyDescent="0.25">
      <c r="A388" s="7"/>
      <c r="B388" s="10"/>
      <c r="C388" s="10"/>
      <c r="D388" s="13"/>
      <c r="E388" s="17"/>
      <c r="F388" s="18">
        <f>IF(D388="","",D388*IF(E388="",1,E388))</f>
      </c>
      <c r="G388" s="10"/>
    </row>
    <row r="389" spans="1:7" x14ac:dyDescent="0.25">
      <c r="A389" s="7"/>
      <c r="B389" s="10"/>
      <c r="C389" s="10"/>
      <c r="D389" s="13"/>
      <c r="E389" s="17"/>
      <c r="F389" s="18">
        <f>IF(D389="","",D389*IF(E389="",1,E389))</f>
      </c>
      <c r="G389" s="10"/>
    </row>
    <row r="390" spans="1:7" x14ac:dyDescent="0.25">
      <c r="A390" s="7"/>
      <c r="B390" s="10"/>
      <c r="C390" s="10"/>
      <c r="D390" s="13"/>
      <c r="E390" s="17"/>
      <c r="F390" s="18">
        <f>IF(D390="","",D390*IF(E390="",1,E390))</f>
      </c>
      <c r="G390" s="10"/>
    </row>
    <row r="391" spans="1:7" x14ac:dyDescent="0.25">
      <c r="A391" s="7"/>
      <c r="B391" s="10"/>
      <c r="C391" s="10"/>
      <c r="D391" s="13"/>
      <c r="E391" s="17"/>
      <c r="F391" s="18">
        <f>IF(D391="","",D391*IF(E391="",1,E391))</f>
      </c>
      <c r="G391" s="10"/>
    </row>
    <row r="392" spans="1:7" x14ac:dyDescent="0.25">
      <c r="A392" s="7"/>
      <c r="B392" s="10"/>
      <c r="C392" s="10"/>
      <c r="D392" s="13"/>
      <c r="E392" s="17"/>
      <c r="F392" s="18">
        <f>IF(D392="","",D392*IF(E392="",1,E392))</f>
      </c>
      <c r="G392" s="10"/>
    </row>
    <row r="393" spans="1:7" x14ac:dyDescent="0.25">
      <c r="A393" s="7"/>
      <c r="B393" s="10"/>
      <c r="C393" s="10"/>
      <c r="D393" s="13"/>
      <c r="E393" s="17"/>
      <c r="F393" s="18">
        <f>IF(D393="","",D393*IF(E393="",1,E393))</f>
      </c>
      <c r="G393" s="10"/>
    </row>
    <row r="394" spans="1:7" x14ac:dyDescent="0.25">
      <c r="A394" s="7"/>
      <c r="B394" s="10"/>
      <c r="C394" s="10"/>
      <c r="D394" s="13"/>
      <c r="E394" s="17"/>
      <c r="F394" s="18">
        <f>IF(D394="","",D394*IF(E394="",1,E394))</f>
      </c>
      <c r="G394" s="10"/>
    </row>
    <row r="395" spans="1:7" x14ac:dyDescent="0.25">
      <c r="A395" s="7"/>
      <c r="B395" s="10"/>
      <c r="C395" s="10"/>
      <c r="D395" s="13"/>
      <c r="E395" s="17"/>
      <c r="F395" s="18">
        <f>IF(D395="","",D395*IF(E395="",1,E395))</f>
      </c>
      <c r="G395" s="10"/>
    </row>
    <row r="396" spans="1:7" x14ac:dyDescent="0.25">
      <c r="A396" s="7"/>
      <c r="B396" s="10"/>
      <c r="C396" s="10"/>
      <c r="D396" s="13"/>
      <c r="E396" s="17"/>
      <c r="F396" s="18">
        <f>IF(D396="","",D396*IF(E396="",1,E396))</f>
      </c>
      <c r="G396" s="10"/>
    </row>
    <row r="397" spans="1:7" x14ac:dyDescent="0.25">
      <c r="A397" s="7"/>
      <c r="B397" s="10"/>
      <c r="C397" s="10"/>
      <c r="D397" s="13"/>
      <c r="E397" s="17"/>
      <c r="F397" s="18">
        <f>IF(D397="","",D397*IF(E397="",1,E397))</f>
      </c>
      <c r="G397" s="10"/>
    </row>
    <row r="398" spans="1:7" x14ac:dyDescent="0.25">
      <c r="A398" s="7"/>
      <c r="B398" s="10"/>
      <c r="C398" s="10"/>
      <c r="D398" s="13"/>
      <c r="E398" s="17"/>
      <c r="F398" s="18">
        <f>IF(D398="","",D398*IF(E398="",1,E398))</f>
      </c>
      <c r="G398" s="10"/>
    </row>
    <row r="399" spans="1:7" x14ac:dyDescent="0.25">
      <c r="A399" s="7"/>
      <c r="B399" s="10"/>
      <c r="C399" s="10"/>
      <c r="D399" s="13"/>
      <c r="E399" s="17"/>
      <c r="F399" s="18">
        <f>IF(D399="","",D399*IF(E399="",1,E399))</f>
      </c>
      <c r="G399" s="10"/>
    </row>
    <row r="400" spans="1:7" x14ac:dyDescent="0.25">
      <c r="A400" s="7"/>
      <c r="B400" s="10"/>
      <c r="C400" s="10"/>
      <c r="D400" s="13"/>
      <c r="E400" s="17"/>
      <c r="F400" s="18">
        <f>IF(D400="","",D400*IF(E400="",1,E400))</f>
      </c>
      <c r="G400" s="10"/>
    </row>
    <row r="401" spans="1:7" x14ac:dyDescent="0.25">
      <c r="A401" s="7"/>
      <c r="B401" s="10"/>
      <c r="C401" s="10"/>
      <c r="D401" s="13"/>
      <c r="E401" s="17"/>
      <c r="F401" s="18">
        <f>IF(D401="","",D401*IF(E401="",1,E401))</f>
      </c>
      <c r="G401" s="10"/>
    </row>
    <row r="402" spans="1:7" x14ac:dyDescent="0.25">
      <c r="A402" s="7"/>
      <c r="B402" s="10"/>
      <c r="C402" s="10"/>
      <c r="D402" s="13"/>
      <c r="E402" s="17"/>
      <c r="F402" s="18">
        <f>IF(D402="","",D402*IF(E402="",1,E402))</f>
      </c>
      <c r="G402" s="10"/>
    </row>
    <row r="403" spans="1:7" x14ac:dyDescent="0.25">
      <c r="A403" s="7"/>
      <c r="B403" s="10"/>
      <c r="C403" s="10"/>
      <c r="D403" s="13"/>
      <c r="E403" s="17"/>
      <c r="F403" s="18">
        <f>IF(D403="","",D403*IF(E403="",1,E403))</f>
      </c>
      <c r="G403" s="10"/>
    </row>
    <row r="404" spans="1:7" x14ac:dyDescent="0.25">
      <c r="A404" s="7"/>
      <c r="B404" s="10"/>
      <c r="C404" s="10"/>
      <c r="D404" s="13"/>
      <c r="E404" s="17"/>
      <c r="F404" s="18">
        <f>IF(D404="","",D404*IF(E404="",1,E404))</f>
      </c>
      <c r="G404" s="10"/>
    </row>
    <row r="405" spans="1:7" x14ac:dyDescent="0.25">
      <c r="A405" s="7"/>
      <c r="B405" s="10"/>
      <c r="C405" s="10"/>
      <c r="D405" s="13"/>
      <c r="E405" s="17"/>
      <c r="F405" s="18">
        <f>IF(D405="","",D405*IF(E405="",1,E405))</f>
      </c>
      <c r="G405" s="10"/>
    </row>
    <row r="406" spans="1:7" x14ac:dyDescent="0.25">
      <c r="A406" s="7"/>
      <c r="B406" s="10"/>
      <c r="C406" s="10"/>
      <c r="D406" s="13"/>
      <c r="E406" s="17"/>
      <c r="F406" s="18">
        <f>IF(D406="","",D406*IF(E406="",1,E406))</f>
      </c>
      <c r="G406" s="10"/>
    </row>
    <row r="407" spans="1:7" x14ac:dyDescent="0.25">
      <c r="A407" s="7"/>
      <c r="B407" s="10"/>
      <c r="C407" s="10"/>
      <c r="D407" s="13"/>
      <c r="E407" s="17"/>
      <c r="F407" s="18">
        <f>IF(D407="","",D407*IF(E407="",1,E407))</f>
      </c>
      <c r="G407" s="10"/>
    </row>
    <row r="408" spans="1:7" x14ac:dyDescent="0.25">
      <c r="A408" s="7"/>
      <c r="B408" s="10"/>
      <c r="C408" s="10"/>
      <c r="D408" s="13"/>
      <c r="E408" s="17"/>
      <c r="F408" s="18">
        <f>IF(D408="","",D408*IF(E408="",1,E408))</f>
      </c>
      <c r="G408" s="10"/>
    </row>
    <row r="409" spans="1:7" x14ac:dyDescent="0.25">
      <c r="A409" s="7"/>
      <c r="B409" s="10"/>
      <c r="C409" s="10"/>
      <c r="D409" s="13"/>
      <c r="E409" s="17"/>
      <c r="F409" s="18">
        <f>IF(D409="","",D409*IF(E409="",1,E409))</f>
      </c>
      <c r="G409" s="10"/>
    </row>
    <row r="410" spans="1:7" x14ac:dyDescent="0.25">
      <c r="A410" s="7"/>
      <c r="B410" s="10"/>
      <c r="C410" s="10"/>
      <c r="D410" s="13"/>
      <c r="E410" s="17"/>
      <c r="F410" s="18">
        <f>IF(D410="","",D410*IF(E410="",1,E410))</f>
      </c>
      <c r="G410" s="10"/>
    </row>
    <row r="411" spans="1:7" x14ac:dyDescent="0.25">
      <c r="A411" s="7"/>
      <c r="B411" s="10"/>
      <c r="C411" s="10"/>
      <c r="D411" s="13"/>
      <c r="E411" s="17"/>
      <c r="F411" s="18">
        <f>IF(D411="","",D411*IF(E411="",1,E411))</f>
      </c>
      <c r="G411" s="10"/>
    </row>
    <row r="412" spans="1:7" x14ac:dyDescent="0.25">
      <c r="A412" s="7"/>
      <c r="B412" s="10"/>
      <c r="C412" s="10"/>
      <c r="D412" s="13"/>
      <c r="E412" s="17"/>
      <c r="F412" s="18">
        <f>IF(D412="","",D412*IF(E412="",1,E412))</f>
      </c>
      <c r="G412" s="10"/>
    </row>
    <row r="413" spans="1:7" x14ac:dyDescent="0.25">
      <c r="A413" s="7"/>
      <c r="B413" s="10"/>
      <c r="C413" s="10"/>
      <c r="D413" s="13"/>
      <c r="E413" s="17"/>
      <c r="F413" s="18">
        <f>IF(D413="","",D413*IF(E413="",1,E413))</f>
      </c>
      <c r="G413" s="10"/>
    </row>
    <row r="414" spans="1:7" x14ac:dyDescent="0.25">
      <c r="A414" s="7"/>
      <c r="B414" s="10"/>
      <c r="C414" s="10"/>
      <c r="D414" s="13"/>
      <c r="E414" s="17"/>
      <c r="F414" s="18">
        <f>IF(D414="","",D414*IF(E414="",1,E414))</f>
      </c>
      <c r="G414" s="10"/>
    </row>
    <row r="415" spans="1:7" x14ac:dyDescent="0.25">
      <c r="A415" s="7"/>
      <c r="B415" s="10"/>
      <c r="C415" s="10"/>
      <c r="D415" s="13"/>
      <c r="E415" s="17"/>
      <c r="F415" s="18">
        <f>IF(D415="","",D415*IF(E415="",1,E415))</f>
      </c>
      <c r="G415" s="10"/>
    </row>
    <row r="416" spans="1:7" x14ac:dyDescent="0.25">
      <c r="A416" s="7"/>
      <c r="B416" s="10"/>
      <c r="C416" s="10"/>
      <c r="D416" s="13"/>
      <c r="E416" s="17"/>
      <c r="F416" s="18">
        <f>IF(D416="","",D416*IF(E416="",1,E416))</f>
      </c>
      <c r="G416" s="10"/>
    </row>
    <row r="417" spans="1:7" x14ac:dyDescent="0.25">
      <c r="A417" s="7"/>
      <c r="B417" s="10"/>
      <c r="C417" s="10"/>
      <c r="D417" s="13"/>
      <c r="E417" s="17"/>
      <c r="F417" s="18">
        <f>IF(D417="","",D417*IF(E417="",1,E417))</f>
      </c>
      <c r="G417" s="10"/>
    </row>
    <row r="418" spans="1:7" x14ac:dyDescent="0.25">
      <c r="A418" s="7"/>
      <c r="B418" s="10"/>
      <c r="C418" s="10"/>
      <c r="D418" s="13"/>
      <c r="E418" s="17"/>
      <c r="F418" s="18">
        <f>IF(D418="","",D418*IF(E418="",1,E418))</f>
      </c>
      <c r="G418" s="10"/>
    </row>
    <row r="419" spans="1:7" x14ac:dyDescent="0.25">
      <c r="A419" s="7"/>
      <c r="B419" s="10"/>
      <c r="C419" s="10"/>
      <c r="D419" s="13"/>
      <c r="E419" s="17"/>
      <c r="F419" s="18">
        <f>IF(D419="","",D419*IF(E419="",1,E419))</f>
      </c>
      <c r="G419" s="10"/>
    </row>
    <row r="420" spans="1:7" x14ac:dyDescent="0.25">
      <c r="A420" s="7"/>
      <c r="B420" s="10"/>
      <c r="C420" s="10"/>
      <c r="D420" s="13"/>
      <c r="E420" s="17"/>
      <c r="F420" s="18">
        <f>IF(D420="","",D420*IF(E420="",1,E420))</f>
      </c>
      <c r="G420" s="10"/>
    </row>
    <row r="421" spans="1:7" x14ac:dyDescent="0.25">
      <c r="A421" s="7"/>
      <c r="B421" s="10"/>
      <c r="C421" s="10"/>
      <c r="D421" s="13"/>
      <c r="E421" s="17"/>
      <c r="F421" s="18">
        <f>IF(D421="","",D421*IF(E421="",1,E421))</f>
      </c>
      <c r="G421" s="10"/>
    </row>
    <row r="422" spans="1:7" x14ac:dyDescent="0.25">
      <c r="A422" s="7"/>
      <c r="B422" s="10"/>
      <c r="C422" s="10"/>
      <c r="D422" s="13"/>
      <c r="E422" s="17"/>
      <c r="F422" s="18">
        <f>IF(D422="","",D422*IF(E422="",1,E422))</f>
      </c>
      <c r="G422" s="10"/>
    </row>
    <row r="423" spans="1:7" x14ac:dyDescent="0.25">
      <c r="A423" s="7"/>
      <c r="B423" s="10"/>
      <c r="C423" s="10"/>
      <c r="D423" s="13"/>
      <c r="E423" s="17"/>
      <c r="F423" s="18">
        <f>IF(D423="","",D423*IF(E423="",1,E423))</f>
      </c>
      <c r="G423" s="10"/>
    </row>
    <row r="424" spans="1:7" x14ac:dyDescent="0.25">
      <c r="A424" s="7"/>
      <c r="B424" s="10"/>
      <c r="C424" s="10"/>
      <c r="D424" s="13"/>
      <c r="E424" s="17"/>
      <c r="F424" s="18">
        <f>IF(D424="","",D424*IF(E424="",1,E424))</f>
      </c>
      <c r="G424" s="10"/>
    </row>
    <row r="425" spans="1:7" x14ac:dyDescent="0.25">
      <c r="A425" s="7"/>
      <c r="B425" s="10"/>
      <c r="C425" s="10"/>
      <c r="D425" s="13"/>
      <c r="E425" s="17"/>
      <c r="F425" s="18">
        <f>IF(D425="","",D425*IF(E425="",1,E425))</f>
      </c>
      <c r="G425" s="10"/>
    </row>
    <row r="426" spans="1:7" x14ac:dyDescent="0.25">
      <c r="A426" s="7"/>
      <c r="B426" s="10"/>
      <c r="C426" s="10"/>
      <c r="D426" s="13"/>
      <c r="E426" s="17"/>
      <c r="F426" s="18">
        <f>IF(D426="","",D426*IF(E426="",1,E426))</f>
      </c>
      <c r="G426" s="10"/>
    </row>
    <row r="427" spans="1:7" x14ac:dyDescent="0.25">
      <c r="A427" s="7"/>
      <c r="B427" s="10"/>
      <c r="C427" s="10"/>
      <c r="D427" s="13"/>
      <c r="E427" s="17"/>
      <c r="F427" s="18">
        <f>IF(D427="","",D427*IF(E427="",1,E427))</f>
      </c>
      <c r="G427" s="10"/>
    </row>
    <row r="428" spans="1:7" x14ac:dyDescent="0.25">
      <c r="A428" s="7"/>
      <c r="B428" s="10"/>
      <c r="C428" s="10"/>
      <c r="D428" s="13"/>
      <c r="E428" s="17"/>
      <c r="F428" s="18">
        <f>IF(D428="","",D428*IF(E428="",1,E428))</f>
      </c>
      <c r="G428" s="10"/>
    </row>
    <row r="429" spans="1:7" x14ac:dyDescent="0.25">
      <c r="A429" s="7"/>
      <c r="B429" s="10"/>
      <c r="C429" s="10"/>
      <c r="D429" s="13"/>
      <c r="E429" s="17"/>
      <c r="F429" s="18">
        <f>IF(D429="","",D429*IF(E429="",1,E429))</f>
      </c>
      <c r="G429" s="10"/>
    </row>
    <row r="430" spans="1:7" x14ac:dyDescent="0.25">
      <c r="A430" s="7"/>
      <c r="B430" s="10"/>
      <c r="C430" s="10"/>
      <c r="D430" s="13"/>
      <c r="E430" s="17"/>
      <c r="F430" s="18">
        <f>IF(D430="","",D430*IF(E430="",1,E430))</f>
      </c>
      <c r="G430" s="10"/>
    </row>
    <row r="431" spans="1:7" x14ac:dyDescent="0.25">
      <c r="A431" s="7"/>
      <c r="B431" s="10"/>
      <c r="C431" s="10"/>
      <c r="D431" s="13"/>
      <c r="E431" s="17"/>
      <c r="F431" s="18">
        <f>IF(D431="","",D431*IF(E431="",1,E431))</f>
      </c>
      <c r="G431" s="10"/>
    </row>
    <row r="432" spans="1:7" x14ac:dyDescent="0.25">
      <c r="A432" s="7"/>
      <c r="B432" s="10"/>
      <c r="C432" s="10"/>
      <c r="D432" s="13"/>
      <c r="E432" s="17"/>
      <c r="F432" s="18">
        <f>IF(D432="","",D432*IF(E432="",1,E432))</f>
      </c>
      <c r="G432" s="10"/>
    </row>
    <row r="433" spans="1:7" x14ac:dyDescent="0.25">
      <c r="A433" s="7"/>
      <c r="B433" s="10"/>
      <c r="C433" s="10"/>
      <c r="D433" s="13"/>
      <c r="E433" s="17"/>
      <c r="F433" s="18">
        <f>IF(D433="","",D433*IF(E433="",1,E433))</f>
      </c>
      <c r="G433" s="10"/>
    </row>
    <row r="434" spans="1:7" x14ac:dyDescent="0.25">
      <c r="A434" s="7"/>
      <c r="B434" s="10"/>
      <c r="C434" s="10"/>
      <c r="D434" s="13"/>
      <c r="E434" s="17"/>
      <c r="F434" s="18">
        <f>IF(D434="","",D434*IF(E434="",1,E434))</f>
      </c>
      <c r="G434" s="10"/>
    </row>
    <row r="435" spans="1:7" x14ac:dyDescent="0.25">
      <c r="A435" s="7"/>
      <c r="B435" s="10"/>
      <c r="C435" s="10"/>
      <c r="D435" s="13"/>
      <c r="E435" s="17"/>
      <c r="F435" s="18">
        <f>IF(D435="","",D435*IF(E435="",1,E435))</f>
      </c>
      <c r="G435" s="10"/>
    </row>
    <row r="436" spans="1:7" x14ac:dyDescent="0.25">
      <c r="A436" s="7"/>
      <c r="B436" s="10"/>
      <c r="C436" s="10"/>
      <c r="D436" s="13"/>
      <c r="E436" s="17"/>
      <c r="F436" s="18">
        <f>IF(D436="","",D436*IF(E436="",1,E436))</f>
      </c>
      <c r="G436" s="10"/>
    </row>
    <row r="437" spans="1:7" x14ac:dyDescent="0.25">
      <c r="A437" s="7"/>
      <c r="B437" s="10"/>
      <c r="C437" s="10"/>
      <c r="D437" s="13"/>
      <c r="E437" s="17"/>
      <c r="F437" s="18">
        <f>IF(D437="","",D437*IF(E437="",1,E437))</f>
      </c>
      <c r="G437" s="10"/>
    </row>
    <row r="438" spans="1:7" x14ac:dyDescent="0.25">
      <c r="A438" s="7"/>
      <c r="B438" s="10"/>
      <c r="C438" s="10"/>
      <c r="D438" s="13"/>
      <c r="E438" s="17"/>
      <c r="F438" s="18">
        <f>IF(D438="","",D438*IF(E438="",1,E438))</f>
      </c>
      <c r="G438" s="10"/>
    </row>
    <row r="439" spans="1:7" x14ac:dyDescent="0.25">
      <c r="A439" s="7"/>
      <c r="B439" s="10"/>
      <c r="C439" s="10"/>
      <c r="D439" s="13"/>
      <c r="E439" s="17"/>
      <c r="F439" s="18">
        <f>IF(D439="","",D439*IF(E439="",1,E439))</f>
      </c>
      <c r="G439" s="10"/>
    </row>
    <row r="440" spans="1:7" x14ac:dyDescent="0.25">
      <c r="A440" s="7"/>
      <c r="B440" s="10"/>
      <c r="C440" s="10"/>
      <c r="D440" s="13"/>
      <c r="E440" s="17"/>
      <c r="F440" s="18">
        <f>IF(D440="","",D440*IF(E440="",1,E440))</f>
      </c>
      <c r="G440" s="10"/>
    </row>
    <row r="441" spans="1:7" x14ac:dyDescent="0.25">
      <c r="A441" s="7"/>
      <c r="B441" s="10"/>
      <c r="C441" s="10"/>
      <c r="D441" s="13"/>
      <c r="E441" s="17"/>
      <c r="F441" s="18">
        <f>IF(D441="","",D441*IF(E441="",1,E441))</f>
      </c>
      <c r="G441" s="10"/>
    </row>
    <row r="442" spans="1:7" x14ac:dyDescent="0.25">
      <c r="A442" s="7"/>
      <c r="B442" s="10"/>
      <c r="C442" s="10"/>
      <c r="D442" s="13"/>
      <c r="E442" s="17"/>
      <c r="F442" s="18">
        <f>IF(D442="","",D442*IF(E442="",1,E442))</f>
      </c>
      <c r="G442" s="10"/>
    </row>
    <row r="443" spans="1:7" x14ac:dyDescent="0.25">
      <c r="A443" s="7"/>
      <c r="B443" s="10"/>
      <c r="C443" s="10"/>
      <c r="D443" s="13"/>
      <c r="E443" s="17"/>
      <c r="F443" s="18">
        <f>IF(D443="","",D443*IF(E443="",1,E443))</f>
      </c>
      <c r="G443" s="10"/>
    </row>
    <row r="444" spans="1:7" x14ac:dyDescent="0.25">
      <c r="A444" s="7"/>
      <c r="B444" s="10"/>
      <c r="C444" s="10"/>
      <c r="D444" s="13"/>
      <c r="E444" s="17"/>
      <c r="F444" s="18">
        <f>IF(D444="","",D444*IF(E444="",1,E444))</f>
      </c>
      <c r="G444" s="10"/>
    </row>
    <row r="445" spans="1:7" x14ac:dyDescent="0.25">
      <c r="A445" s="7"/>
      <c r="B445" s="10"/>
      <c r="C445" s="10"/>
      <c r="D445" s="13"/>
      <c r="E445" s="17"/>
      <c r="F445" s="18">
        <f>IF(D445="","",D445*IF(E445="",1,E445))</f>
      </c>
      <c r="G445" s="10"/>
    </row>
    <row r="446" spans="1:7" x14ac:dyDescent="0.25">
      <c r="A446" s="7"/>
      <c r="B446" s="10"/>
      <c r="C446" s="10"/>
      <c r="D446" s="13"/>
      <c r="E446" s="17"/>
      <c r="F446" s="18">
        <f>IF(D446="","",D446*IF(E446="",1,E446))</f>
      </c>
      <c r="G446" s="10"/>
    </row>
    <row r="447" spans="1:7" x14ac:dyDescent="0.25">
      <c r="A447" s="7"/>
      <c r="B447" s="10"/>
      <c r="C447" s="10"/>
      <c r="D447" s="13"/>
      <c r="E447" s="17"/>
      <c r="F447" s="18">
        <f>IF(D447="","",D447*IF(E447="",1,E447))</f>
      </c>
      <c r="G447" s="10"/>
    </row>
    <row r="448" spans="1:7" x14ac:dyDescent="0.25">
      <c r="A448" s="7"/>
      <c r="B448" s="10"/>
      <c r="C448" s="10"/>
      <c r="D448" s="13"/>
      <c r="E448" s="17"/>
      <c r="F448" s="18">
        <f>IF(D448="","",D448*IF(E448="",1,E448))</f>
      </c>
      <c r="G448" s="10"/>
    </row>
    <row r="449" spans="1:7" x14ac:dyDescent="0.25">
      <c r="A449" s="7"/>
      <c r="B449" s="10"/>
      <c r="C449" s="10"/>
      <c r="D449" s="13"/>
      <c r="E449" s="17"/>
      <c r="F449" s="18">
        <f>IF(D449="","",D449*IF(E449="",1,E449))</f>
      </c>
      <c r="G449" s="10"/>
    </row>
    <row r="450" spans="1:7" x14ac:dyDescent="0.25">
      <c r="A450" s="7"/>
      <c r="B450" s="10"/>
      <c r="C450" s="10"/>
      <c r="D450" s="13"/>
      <c r="E450" s="17"/>
      <c r="F450" s="18">
        <f>IF(D450="","",D450*IF(E450="",1,E450))</f>
      </c>
      <c r="G450" s="10"/>
    </row>
    <row r="451" spans="1:7" x14ac:dyDescent="0.25">
      <c r="A451" s="7"/>
      <c r="B451" s="10"/>
      <c r="C451" s="10"/>
      <c r="D451" s="13"/>
      <c r="E451" s="17"/>
      <c r="F451" s="18">
        <f>IF(D451="","",D451*IF(E451="",1,E451))</f>
      </c>
      <c r="G451" s="10"/>
    </row>
    <row r="452" spans="1:7" x14ac:dyDescent="0.25">
      <c r="A452" s="7"/>
      <c r="B452" s="10"/>
      <c r="C452" s="10"/>
      <c r="D452" s="13"/>
      <c r="E452" s="17"/>
      <c r="F452" s="18">
        <f>IF(D452="","",D452*IF(E452="",1,E452))</f>
      </c>
      <c r="G452" s="10"/>
    </row>
    <row r="453" spans="1:7" x14ac:dyDescent="0.25">
      <c r="A453" s="7"/>
      <c r="B453" s="10"/>
      <c r="C453" s="10"/>
      <c r="D453" s="13"/>
      <c r="E453" s="17"/>
      <c r="F453" s="18">
        <f>IF(D453="","",D453*IF(E453="",1,E453))</f>
      </c>
      <c r="G453" s="10"/>
    </row>
    <row r="454" spans="1:7" x14ac:dyDescent="0.25">
      <c r="A454" s="7"/>
      <c r="B454" s="10"/>
      <c r="C454" s="10"/>
      <c r="D454" s="13"/>
      <c r="E454" s="17"/>
      <c r="F454" s="18">
        <f>IF(D454="","",D454*IF(E454="",1,E454))</f>
      </c>
      <c r="G454" s="10"/>
    </row>
    <row r="455" spans="1:7" x14ac:dyDescent="0.25">
      <c r="A455" s="7"/>
      <c r="B455" s="10"/>
      <c r="C455" s="10"/>
      <c r="D455" s="13"/>
      <c r="E455" s="17"/>
      <c r="F455" s="18">
        <f>IF(D455="","",D455*IF(E455="",1,E455))</f>
      </c>
      <c r="G455" s="10"/>
    </row>
    <row r="456" spans="1:7" x14ac:dyDescent="0.25">
      <c r="A456" s="7"/>
      <c r="B456" s="10"/>
      <c r="C456" s="10"/>
      <c r="D456" s="13"/>
      <c r="E456" s="17"/>
      <c r="F456" s="18">
        <f>IF(D456="","",D456*IF(E456="",1,E456))</f>
      </c>
      <c r="G456" s="10"/>
    </row>
    <row r="457" spans="1:7" x14ac:dyDescent="0.25">
      <c r="A457" s="7"/>
      <c r="B457" s="10"/>
      <c r="C457" s="10"/>
      <c r="D457" s="13"/>
      <c r="E457" s="17"/>
      <c r="F457" s="18">
        <f>IF(D457="","",D457*IF(E457="",1,E457))</f>
      </c>
      <c r="G457" s="10"/>
    </row>
    <row r="458" spans="1:7" x14ac:dyDescent="0.25">
      <c r="A458" s="7"/>
      <c r="B458" s="10"/>
      <c r="C458" s="10"/>
      <c r="D458" s="13"/>
      <c r="E458" s="17"/>
      <c r="F458" s="18">
        <f>IF(D458="","",D458*IF(E458="",1,E458))</f>
      </c>
      <c r="G458" s="10"/>
    </row>
    <row r="459" spans="1:7" x14ac:dyDescent="0.25">
      <c r="A459" s="7"/>
      <c r="B459" s="10"/>
      <c r="C459" s="10"/>
      <c r="D459" s="13"/>
      <c r="E459" s="17"/>
      <c r="F459" s="18">
        <f>IF(D459="","",D459*IF(E459="",1,E459))</f>
      </c>
      <c r="G459" s="10"/>
    </row>
    <row r="460" spans="1:7" x14ac:dyDescent="0.25">
      <c r="A460" s="7"/>
      <c r="B460" s="10"/>
      <c r="C460" s="10"/>
      <c r="D460" s="13"/>
      <c r="E460" s="17"/>
      <c r="F460" s="18">
        <f>IF(D460="","",D460*IF(E460="",1,E460))</f>
      </c>
      <c r="G460" s="10"/>
    </row>
    <row r="461" spans="1:7" x14ac:dyDescent="0.25">
      <c r="A461" s="7"/>
      <c r="B461" s="10"/>
      <c r="C461" s="10"/>
      <c r="D461" s="13"/>
      <c r="E461" s="17"/>
      <c r="F461" s="18">
        <f>IF(D461="","",D461*IF(E461="",1,E461))</f>
      </c>
      <c r="G461" s="10"/>
    </row>
    <row r="462" spans="1:7" x14ac:dyDescent="0.25">
      <c r="A462" s="7"/>
      <c r="B462" s="10"/>
      <c r="C462" s="10"/>
      <c r="D462" s="13"/>
      <c r="E462" s="17"/>
      <c r="F462" s="18">
        <f>IF(D462="","",D462*IF(E462="",1,E462))</f>
      </c>
      <c r="G462" s="10"/>
    </row>
    <row r="463" spans="1:7" x14ac:dyDescent="0.25">
      <c r="A463" s="7"/>
      <c r="B463" s="10"/>
      <c r="C463" s="10"/>
      <c r="D463" s="13"/>
      <c r="E463" s="17"/>
      <c r="F463" s="18">
        <f>IF(D463="","",D463*IF(E463="",1,E463))</f>
      </c>
      <c r="G463" s="10"/>
    </row>
    <row r="464" spans="1:7" x14ac:dyDescent="0.25">
      <c r="A464" s="7"/>
      <c r="B464" s="10"/>
      <c r="C464" s="10"/>
      <c r="D464" s="13"/>
      <c r="E464" s="17"/>
      <c r="F464" s="18">
        <f>IF(D464="","",D464*IF(E464="",1,E464))</f>
      </c>
      <c r="G464" s="10"/>
    </row>
    <row r="465" spans="1:7" x14ac:dyDescent="0.25">
      <c r="A465" s="7"/>
      <c r="B465" s="10"/>
      <c r="C465" s="10"/>
      <c r="D465" s="13"/>
      <c r="E465" s="17"/>
      <c r="F465" s="18">
        <f>IF(D465="","",D465*IF(E465="",1,E465))</f>
      </c>
      <c r="G465" s="10"/>
    </row>
    <row r="466" spans="1:7" x14ac:dyDescent="0.25">
      <c r="A466" s="7"/>
      <c r="B466" s="10"/>
      <c r="C466" s="10"/>
      <c r="D466" s="13"/>
      <c r="E466" s="17"/>
      <c r="F466" s="18">
        <f>IF(D466="","",D466*IF(E466="",1,E466))</f>
      </c>
      <c r="G466" s="10"/>
    </row>
    <row r="467" spans="1:7" x14ac:dyDescent="0.25">
      <c r="A467" s="7"/>
      <c r="B467" s="10"/>
      <c r="C467" s="10"/>
      <c r="D467" s="13"/>
      <c r="E467" s="17"/>
      <c r="F467" s="18">
        <f>IF(D467="","",D467*IF(E467="",1,E467))</f>
      </c>
      <c r="G467" s="10"/>
    </row>
    <row r="468" spans="1:7" x14ac:dyDescent="0.25">
      <c r="A468" s="7"/>
      <c r="B468" s="10"/>
      <c r="C468" s="10"/>
      <c r="D468" s="13"/>
      <c r="E468" s="17"/>
      <c r="F468" s="18">
        <f>IF(D468="","",D468*IF(E468="",1,E468))</f>
      </c>
      <c r="G468" s="10"/>
    </row>
    <row r="469" spans="1:7" x14ac:dyDescent="0.25">
      <c r="A469" s="7"/>
      <c r="B469" s="10"/>
      <c r="C469" s="10"/>
      <c r="D469" s="13"/>
      <c r="E469" s="17"/>
      <c r="F469" s="18">
        <f>IF(D469="","",D469*IF(E469="",1,E469))</f>
      </c>
      <c r="G469" s="10"/>
    </row>
    <row r="470" spans="1:7" x14ac:dyDescent="0.25">
      <c r="A470" s="7"/>
      <c r="B470" s="10"/>
      <c r="C470" s="10"/>
      <c r="D470" s="13"/>
      <c r="E470" s="17"/>
      <c r="F470" s="18">
        <f>IF(D470="","",D470*IF(E470="",1,E470))</f>
      </c>
      <c r="G470" s="10"/>
    </row>
    <row r="471" spans="1:7" x14ac:dyDescent="0.25">
      <c r="A471" s="7"/>
      <c r="B471" s="10"/>
      <c r="C471" s="10"/>
      <c r="D471" s="13"/>
      <c r="E471" s="17"/>
      <c r="F471" s="18">
        <f>IF(D471="","",D471*IF(E471="",1,E471))</f>
      </c>
      <c r="G471" s="10"/>
    </row>
    <row r="472" spans="1:7" x14ac:dyDescent="0.25">
      <c r="A472" s="7"/>
      <c r="B472" s="10"/>
      <c r="C472" s="10"/>
      <c r="D472" s="13"/>
      <c r="E472" s="17"/>
      <c r="F472" s="18">
        <f>IF(D472="","",D472*IF(E472="",1,E472))</f>
      </c>
      <c r="G472" s="10"/>
    </row>
    <row r="473" spans="1:7" x14ac:dyDescent="0.25">
      <c r="A473" s="7"/>
      <c r="B473" s="10"/>
      <c r="C473" s="10"/>
      <c r="D473" s="13"/>
      <c r="E473" s="17"/>
      <c r="F473" s="18">
        <f>IF(D473="","",D473*IF(E473="",1,E473))</f>
      </c>
      <c r="G473" s="10"/>
    </row>
    <row r="474" spans="1:7" x14ac:dyDescent="0.25">
      <c r="A474" s="7"/>
      <c r="B474" s="10"/>
      <c r="C474" s="10"/>
      <c r="D474" s="13"/>
      <c r="E474" s="17"/>
      <c r="F474" s="18">
        <f>IF(D474="","",D474*IF(E474="",1,E474))</f>
      </c>
      <c r="G474" s="10"/>
    </row>
    <row r="475" spans="1:7" x14ac:dyDescent="0.25">
      <c r="A475" s="7"/>
      <c r="B475" s="10"/>
      <c r="C475" s="10"/>
      <c r="D475" s="13"/>
      <c r="E475" s="17"/>
      <c r="F475" s="18">
        <f>IF(D475="","",D475*IF(E475="",1,E475))</f>
      </c>
      <c r="G475" s="10"/>
    </row>
    <row r="476" spans="1:7" x14ac:dyDescent="0.25">
      <c r="A476" s="7"/>
      <c r="B476" s="10"/>
      <c r="C476" s="10"/>
      <c r="D476" s="13"/>
      <c r="E476" s="17"/>
      <c r="F476" s="18">
        <f>IF(D476="","",D476*IF(E476="",1,E476))</f>
      </c>
      <c r="G476" s="10"/>
    </row>
    <row r="477" spans="1:7" x14ac:dyDescent="0.25">
      <c r="A477" s="7"/>
      <c r="B477" s="10"/>
      <c r="C477" s="10"/>
      <c r="D477" s="13"/>
      <c r="E477" s="17"/>
      <c r="F477" s="18">
        <f>IF(D477="","",D477*IF(E477="",1,E477))</f>
      </c>
      <c r="G477" s="10"/>
    </row>
    <row r="478" spans="1:7" x14ac:dyDescent="0.25">
      <c r="A478" s="7"/>
      <c r="B478" s="10"/>
      <c r="C478" s="10"/>
      <c r="D478" s="13"/>
      <c r="E478" s="17"/>
      <c r="F478" s="18">
        <f>IF(D478="","",D478*IF(E478="",1,E478))</f>
      </c>
      <c r="G478" s="10"/>
    </row>
    <row r="479" spans="1:7" x14ac:dyDescent="0.25">
      <c r="A479" s="7"/>
      <c r="B479" s="10"/>
      <c r="C479" s="10"/>
      <c r="D479" s="13"/>
      <c r="E479" s="17"/>
      <c r="F479" s="18">
        <f>IF(D479="","",D479*IF(E479="",1,E479))</f>
      </c>
      <c r="G479" s="10"/>
    </row>
    <row r="480" spans="1:7" x14ac:dyDescent="0.25">
      <c r="A480" s="7"/>
      <c r="B480" s="10"/>
      <c r="C480" s="10"/>
      <c r="D480" s="13"/>
      <c r="E480" s="17"/>
      <c r="F480" s="18">
        <f>IF(D480="","",D480*IF(E480="",1,E480))</f>
      </c>
      <c r="G480" s="10"/>
    </row>
    <row r="481" spans="1:7" x14ac:dyDescent="0.25">
      <c r="A481" s="7"/>
      <c r="B481" s="10"/>
      <c r="C481" s="10"/>
      <c r="D481" s="13"/>
      <c r="E481" s="17"/>
      <c r="F481" s="18">
        <f>IF(D481="","",D481*IF(E481="",1,E481))</f>
      </c>
      <c r="G481" s="10"/>
    </row>
    <row r="482" spans="1:7" x14ac:dyDescent="0.25">
      <c r="A482" s="7"/>
      <c r="B482" s="10"/>
      <c r="C482" s="10"/>
      <c r="D482" s="13"/>
      <c r="E482" s="17"/>
      <c r="F482" s="18">
        <f>IF(D482="","",D482*IF(E482="",1,E482))</f>
      </c>
      <c r="G482" s="10"/>
    </row>
    <row r="483" spans="1:7" x14ac:dyDescent="0.25">
      <c r="A483" s="7"/>
      <c r="B483" s="10"/>
      <c r="C483" s="10"/>
      <c r="D483" s="13"/>
      <c r="E483" s="17"/>
      <c r="F483" s="18">
        <f>IF(D483="","",D483*IF(E483="",1,E483))</f>
      </c>
      <c r="G483" s="10"/>
    </row>
    <row r="484" spans="1:7" x14ac:dyDescent="0.25">
      <c r="A484" s="7"/>
      <c r="B484" s="10"/>
      <c r="C484" s="10"/>
      <c r="D484" s="13"/>
      <c r="E484" s="17"/>
      <c r="F484" s="18">
        <f>IF(D484="","",D484*IF(E484="",1,E484))</f>
      </c>
      <c r="G484" s="10"/>
    </row>
    <row r="485" spans="1:7" x14ac:dyDescent="0.25">
      <c r="A485" s="7"/>
      <c r="B485" s="10"/>
      <c r="C485" s="10"/>
      <c r="D485" s="13"/>
      <c r="E485" s="17"/>
      <c r="F485" s="18">
        <f>IF(D485="","",D485*IF(E485="",1,E485))</f>
      </c>
      <c r="G485" s="10"/>
    </row>
    <row r="486" spans="1:7" x14ac:dyDescent="0.25">
      <c r="A486" s="7"/>
      <c r="B486" s="10"/>
      <c r="C486" s="10"/>
      <c r="D486" s="13"/>
      <c r="E486" s="17"/>
      <c r="F486" s="18">
        <f>IF(D486="","",D486*IF(E486="",1,E486))</f>
      </c>
      <c r="G486" s="10"/>
    </row>
    <row r="487" spans="1:7" x14ac:dyDescent="0.25">
      <c r="A487" s="7"/>
      <c r="B487" s="10"/>
      <c r="C487" s="10"/>
      <c r="D487" s="13"/>
      <c r="E487" s="17"/>
      <c r="F487" s="18">
        <f>IF(D487="","",D487*IF(E487="",1,E487))</f>
      </c>
      <c r="G487" s="10"/>
    </row>
    <row r="488" spans="1:7" x14ac:dyDescent="0.25">
      <c r="A488" s="7"/>
      <c r="B488" s="10"/>
      <c r="C488" s="10"/>
      <c r="D488" s="13"/>
      <c r="E488" s="17"/>
      <c r="F488" s="18">
        <f>IF(D488="","",D488*IF(E488="",1,E488))</f>
      </c>
      <c r="G488" s="10"/>
    </row>
    <row r="489" spans="1:7" x14ac:dyDescent="0.25">
      <c r="A489" s="7"/>
      <c r="B489" s="10"/>
      <c r="C489" s="10"/>
      <c r="D489" s="13"/>
      <c r="E489" s="17"/>
      <c r="F489" s="18">
        <f>IF(D489="","",D489*IF(E489="",1,E489))</f>
      </c>
      <c r="G489" s="10"/>
    </row>
    <row r="490" spans="1:7" x14ac:dyDescent="0.25">
      <c r="A490" s="7"/>
      <c r="B490" s="10"/>
      <c r="C490" s="10"/>
      <c r="D490" s="13"/>
      <c r="E490" s="17"/>
      <c r="F490" s="18">
        <f>IF(D490="","",D490*IF(E490="",1,E490))</f>
      </c>
      <c r="G490" s="10"/>
    </row>
    <row r="491" spans="1:7" x14ac:dyDescent="0.25">
      <c r="A491" s="7"/>
      <c r="B491" s="10"/>
      <c r="C491" s="10"/>
      <c r="D491" s="13"/>
      <c r="E491" s="17"/>
      <c r="F491" s="18">
        <f>IF(D491="","",D491*IF(E491="",1,E491))</f>
      </c>
      <c r="G491" s="10"/>
    </row>
    <row r="492" spans="1:7" x14ac:dyDescent="0.25">
      <c r="A492" s="7"/>
      <c r="B492" s="10"/>
      <c r="C492" s="10"/>
      <c r="D492" s="13"/>
      <c r="E492" s="17"/>
      <c r="F492" s="18">
        <f>IF(D492="","",D492*IF(E492="",1,E492))</f>
      </c>
      <c r="G492" s="10"/>
    </row>
    <row r="493" spans="1:7" x14ac:dyDescent="0.25">
      <c r="A493" s="7"/>
      <c r="B493" s="10"/>
      <c r="C493" s="10"/>
      <c r="D493" s="13"/>
      <c r="E493" s="17"/>
      <c r="F493" s="18">
        <f>IF(D493="","",D493*IF(E493="",1,E493))</f>
      </c>
      <c r="G493" s="10"/>
    </row>
    <row r="494" spans="1:7" x14ac:dyDescent="0.25">
      <c r="A494" s="7"/>
      <c r="B494" s="10"/>
      <c r="C494" s="10"/>
      <c r="D494" s="13"/>
      <c r="E494" s="17"/>
      <c r="F494" s="18">
        <f>IF(D494="","",D494*IF(E494="",1,E494))</f>
      </c>
      <c r="G494" s="10"/>
    </row>
    <row r="495" spans="1:7" x14ac:dyDescent="0.25">
      <c r="A495" s="7"/>
      <c r="B495" s="10"/>
      <c r="C495" s="10"/>
      <c r="D495" s="13"/>
      <c r="E495" s="17"/>
      <c r="F495" s="18">
        <f>IF(D495="","",D495*IF(E495="",1,E495))</f>
      </c>
      <c r="G495" s="10"/>
    </row>
    <row r="496" spans="1:7" x14ac:dyDescent="0.25">
      <c r="A496" s="7"/>
      <c r="B496" s="10"/>
      <c r="C496" s="10"/>
      <c r="D496" s="13"/>
      <c r="E496" s="17"/>
      <c r="F496" s="18">
        <f>IF(D496="","",D496*IF(E496="",1,E496))</f>
      </c>
      <c r="G496" s="10"/>
    </row>
    <row r="497" spans="1:7" x14ac:dyDescent="0.25">
      <c r="A497" s="7"/>
      <c r="B497" s="10"/>
      <c r="C497" s="10"/>
      <c r="D497" s="13"/>
      <c r="E497" s="17"/>
      <c r="F497" s="18">
        <f>IF(D497="","",D497*IF(E497="",1,E497))</f>
      </c>
      <c r="G497" s="10"/>
    </row>
    <row r="498" spans="1:7" x14ac:dyDescent="0.25">
      <c r="A498" s="7"/>
      <c r="B498" s="10"/>
      <c r="C498" s="10"/>
      <c r="D498" s="13"/>
      <c r="E498" s="17"/>
      <c r="F498" s="18">
        <f>IF(D498="","",D498*IF(E498="",1,E498))</f>
      </c>
      <c r="G498" s="10"/>
    </row>
    <row r="499" spans="1:7" x14ac:dyDescent="0.25">
      <c r="A499" s="7"/>
      <c r="B499" s="10"/>
      <c r="C499" s="10"/>
      <c r="D499" s="13"/>
      <c r="E499" s="17"/>
      <c r="F499" s="18">
        <f>IF(D499="","",D499*IF(E499="",1,E499))</f>
      </c>
      <c r="G499" s="10"/>
    </row>
    <row r="500" spans="1:7" x14ac:dyDescent="0.25">
      <c r="A500" s="7"/>
      <c r="B500" s="10"/>
      <c r="C500" s="10"/>
      <c r="D500" s="13"/>
      <c r="E500" s="17"/>
      <c r="F500" s="18">
        <f>IF(D500="","",D500*IF(E500="",1,E500))</f>
      </c>
      <c r="G500" s="10"/>
    </row>
    <row r="501" spans="1:7" x14ac:dyDescent="0.25">
      <c r="A501" s="7"/>
      <c r="B501" s="10"/>
      <c r="C501" s="10"/>
      <c r="D501" s="13"/>
      <c r="E501" s="17"/>
      <c r="F501" s="18">
        <f>IF(D501="","",D501*IF(E501="",1,E501))</f>
      </c>
      <c r="G501" s="10"/>
    </row>
    <row r="502" spans="1:7" x14ac:dyDescent="0.25">
      <c r="A502" s="7"/>
      <c r="B502" s="10"/>
      <c r="C502" s="10"/>
      <c r="D502" s="13"/>
      <c r="E502" s="17"/>
      <c r="F502" s="18">
        <f>IF(D502="","",D502*IF(E502="",1,E502))</f>
      </c>
      <c r="G502" s="10"/>
    </row>
    <row r="503" spans="1:7" x14ac:dyDescent="0.25">
      <c r="A503" s="7"/>
      <c r="B503" s="10"/>
      <c r="C503" s="10"/>
      <c r="D503" s="13"/>
      <c r="E503" s="17"/>
      <c r="F503" s="18">
        <f>IF(D503="","",D503*IF(E503="",1,E503))</f>
      </c>
      <c r="G503" s="10"/>
    </row>
    <row r="504" spans="1:7" x14ac:dyDescent="0.25">
      <c r="A504" s="7"/>
      <c r="B504" s="10"/>
      <c r="C504" s="10"/>
      <c r="D504" s="13"/>
      <c r="E504" s="17"/>
      <c r="F504" s="18">
        <f>IF(D504="","",D504*IF(E504="",1,E504))</f>
      </c>
      <c r="G504" s="10"/>
    </row>
    <row r="505" spans="1:7" x14ac:dyDescent="0.25">
      <c r="A505" s="7"/>
      <c r="B505" s="10"/>
      <c r="C505" s="10"/>
      <c r="D505" s="13"/>
      <c r="E505" s="17"/>
      <c r="F505" s="18">
        <f>IF(D505="","",D505*IF(E505="",1,E505))</f>
      </c>
      <c r="G505" s="10"/>
    </row>
    <row r="506" spans="1:7" x14ac:dyDescent="0.25">
      <c r="A506" s="7"/>
      <c r="B506" s="10"/>
      <c r="C506" s="10"/>
      <c r="D506" s="13"/>
      <c r="E506" s="17"/>
      <c r="F506" s="18">
        <f>IF(D506="","",D506*IF(E506="",1,E506))</f>
      </c>
      <c r="G506" s="10"/>
    </row>
    <row r="507" spans="1:7" x14ac:dyDescent="0.25">
      <c r="A507" s="7"/>
      <c r="B507" s="10"/>
      <c r="C507" s="10"/>
      <c r="D507" s="13"/>
      <c r="E507" s="17"/>
      <c r="F507" s="18">
        <f>IF(D507="","",D507*IF(E507="",1,E507))</f>
      </c>
      <c r="G507" s="10"/>
    </row>
    <row r="508" spans="1:7" x14ac:dyDescent="0.25">
      <c r="A508" s="7"/>
      <c r="B508" s="10"/>
      <c r="C508" s="10"/>
      <c r="D508" s="13"/>
      <c r="E508" s="17"/>
      <c r="F508" s="18">
        <f>IF(D508="","",D508*IF(E508="",1,E508))</f>
      </c>
      <c r="G508" s="10"/>
    </row>
    <row r="509" spans="1:7" x14ac:dyDescent="0.25">
      <c r="A509" s="7"/>
      <c r="B509" s="10"/>
      <c r="C509" s="10"/>
      <c r="D509" s="13"/>
      <c r="E509" s="17"/>
      <c r="F509" s="18">
        <f>IF(D509="","",D509*IF(E509="",1,E509))</f>
      </c>
      <c r="G509" s="10"/>
    </row>
    <row r="510" spans="1:7" x14ac:dyDescent="0.25">
      <c r="A510" s="7"/>
      <c r="B510" s="10"/>
      <c r="C510" s="10"/>
      <c r="D510" s="13"/>
      <c r="E510" s="17"/>
      <c r="F510" s="18">
        <f>IF(D510="","",D510*IF(E510="",1,E510))</f>
      </c>
      <c r="G510" s="10"/>
    </row>
    <row r="511" spans="1:7" x14ac:dyDescent="0.25">
      <c r="A511" s="7"/>
      <c r="B511" s="10"/>
      <c r="C511" s="10"/>
      <c r="D511" s="13"/>
      <c r="E511" s="17"/>
      <c r="F511" s="18">
        <f>IF(D511="","",D511*IF(E511="",1,E511))</f>
      </c>
      <c r="G511" s="10"/>
    </row>
    <row r="512" spans="1:7" x14ac:dyDescent="0.25">
      <c r="A512" s="7"/>
      <c r="B512" s="10"/>
      <c r="C512" s="10"/>
      <c r="D512" s="13"/>
      <c r="E512" s="17"/>
      <c r="F512" s="18">
        <f>IF(D512="","",D512*IF(E512="",1,E512))</f>
      </c>
      <c r="G512" s="10"/>
    </row>
    <row r="513" spans="1:7" x14ac:dyDescent="0.25">
      <c r="A513" s="7"/>
      <c r="B513" s="10"/>
      <c r="C513" s="10"/>
      <c r="D513" s="13"/>
      <c r="E513" s="17"/>
      <c r="F513" s="18">
        <f>IF(D513="","",D513*IF(E513="",1,E513))</f>
      </c>
      <c r="G513" s="10"/>
    </row>
    <row r="514" spans="1:7" x14ac:dyDescent="0.25">
      <c r="A514" s="7"/>
      <c r="B514" s="10"/>
      <c r="C514" s="10"/>
      <c r="D514" s="13"/>
      <c r="E514" s="17"/>
      <c r="F514" s="18">
        <f>IF(D514="","",D514*IF(E514="",1,E514))</f>
      </c>
      <c r="G514" s="10"/>
    </row>
    <row r="515" spans="1:7" x14ac:dyDescent="0.25">
      <c r="A515" s="7"/>
      <c r="B515" s="10"/>
      <c r="C515" s="10"/>
      <c r="D515" s="13"/>
      <c r="E515" s="17"/>
      <c r="F515" s="18">
        <f>IF(D515="","",D515*IF(E515="",1,E515))</f>
      </c>
      <c r="G515" s="10"/>
    </row>
    <row r="516" spans="1:7" x14ac:dyDescent="0.25">
      <c r="A516" s="7"/>
      <c r="B516" s="10"/>
      <c r="C516" s="10"/>
      <c r="D516" s="13"/>
      <c r="E516" s="17"/>
      <c r="F516" s="18">
        <f>IF(D516="","",D516*IF(E516="",1,E516))</f>
      </c>
      <c r="G516" s="10"/>
    </row>
    <row r="517" spans="1:7" x14ac:dyDescent="0.25">
      <c r="A517" s="7"/>
      <c r="B517" s="10"/>
      <c r="C517" s="10"/>
      <c r="D517" s="13"/>
      <c r="E517" s="17"/>
      <c r="F517" s="18">
        <f>IF(D517="","",D517*IF(E517="",1,E517))</f>
      </c>
      <c r="G517" s="10"/>
    </row>
    <row r="518" spans="1:7" x14ac:dyDescent="0.25">
      <c r="A518" s="7"/>
      <c r="B518" s="10"/>
      <c r="C518" s="10"/>
      <c r="D518" s="13"/>
      <c r="E518" s="17"/>
      <c r="F518" s="18">
        <f>IF(D518="","",D518*IF(E518="",1,E518))</f>
      </c>
      <c r="G518" s="10"/>
    </row>
    <row r="519" spans="1:7" x14ac:dyDescent="0.25">
      <c r="A519" s="7"/>
      <c r="B519" s="10"/>
      <c r="C519" s="10"/>
      <c r="D519" s="13"/>
      <c r="E519" s="17"/>
      <c r="F519" s="18">
        <f>IF(D519="","",D519*IF(E519="",1,E519))</f>
      </c>
      <c r="G519" s="10"/>
    </row>
    <row r="520" spans="1:7" x14ac:dyDescent="0.25">
      <c r="A520" s="7"/>
      <c r="B520" s="10"/>
      <c r="C520" s="10"/>
      <c r="D520" s="13"/>
      <c r="E520" s="17"/>
      <c r="F520" s="18">
        <f>IF(D520="","",D520*IF(E520="",1,E520))</f>
      </c>
      <c r="G520" s="10"/>
    </row>
    <row r="521" spans="1:7" x14ac:dyDescent="0.25">
      <c r="A521" s="7"/>
      <c r="B521" s="10"/>
      <c r="C521" s="10"/>
      <c r="D521" s="13"/>
      <c r="E521" s="17"/>
      <c r="F521" s="18">
        <f>IF(D521="","",D521*IF(E521="",1,E521))</f>
      </c>
      <c r="G521" s="10"/>
    </row>
    <row r="522" spans="1:7" x14ac:dyDescent="0.25">
      <c r="A522" s="7"/>
      <c r="B522" s="10"/>
      <c r="C522" s="10"/>
      <c r="D522" s="13"/>
      <c r="E522" s="17"/>
      <c r="F522" s="18">
        <f>IF(D522="","",D522*IF(E522="",1,E522))</f>
      </c>
      <c r="G522" s="10"/>
    </row>
    <row r="523" spans="1:7" x14ac:dyDescent="0.25">
      <c r="A523" s="7"/>
      <c r="B523" s="10"/>
      <c r="C523" s="10"/>
      <c r="D523" s="13"/>
      <c r="E523" s="17"/>
      <c r="F523" s="18">
        <f>IF(D523="","",D523*IF(E523="",1,E523))</f>
      </c>
      <c r="G523" s="10"/>
    </row>
    <row r="524" spans="1:7" x14ac:dyDescent="0.25">
      <c r="A524" s="7"/>
      <c r="B524" s="10"/>
      <c r="C524" s="10"/>
      <c r="D524" s="13"/>
      <c r="E524" s="17"/>
      <c r="F524" s="18">
        <f>IF(D524="","",D524*IF(E524="",1,E524))</f>
      </c>
      <c r="G524" s="10"/>
    </row>
    <row r="525" spans="1:7" x14ac:dyDescent="0.25">
      <c r="A525" s="7"/>
      <c r="B525" s="10"/>
      <c r="C525" s="10"/>
      <c r="D525" s="13"/>
      <c r="E525" s="17"/>
      <c r="F525" s="18">
        <f>IF(D525="","",D525*IF(E525="",1,E525))</f>
      </c>
      <c r="G525" s="10"/>
    </row>
    <row r="526" spans="1:7" x14ac:dyDescent="0.25">
      <c r="A526" s="7"/>
      <c r="B526" s="10"/>
      <c r="C526" s="10"/>
      <c r="D526" s="13"/>
      <c r="E526" s="17"/>
      <c r="F526" s="18">
        <f>IF(D526="","",D526*IF(E526="",1,E526))</f>
      </c>
      <c r="G526" s="10"/>
    </row>
    <row r="527" spans="1:7" x14ac:dyDescent="0.25">
      <c r="A527" s="7"/>
      <c r="B527" s="10"/>
      <c r="C527" s="10"/>
      <c r="D527" s="13"/>
      <c r="E527" s="17"/>
      <c r="F527" s="18">
        <f>IF(D527="","",D527*IF(E527="",1,E527))</f>
      </c>
      <c r="G527" s="10"/>
    </row>
    <row r="528" spans="1:7" x14ac:dyDescent="0.25">
      <c r="A528" s="7"/>
      <c r="B528" s="10"/>
      <c r="C528" s="10"/>
      <c r="D528" s="13"/>
      <c r="E528" s="17"/>
      <c r="F528" s="18">
        <f>IF(D528="","",D528*IF(E528="",1,E528))</f>
      </c>
      <c r="G528" s="10"/>
    </row>
    <row r="529" spans="1:7" x14ac:dyDescent="0.25">
      <c r="A529" s="7"/>
      <c r="B529" s="10"/>
      <c r="C529" s="10"/>
      <c r="D529" s="13"/>
      <c r="E529" s="17"/>
      <c r="F529" s="18">
        <f>IF(D529="","",D529*IF(E529="",1,E529))</f>
      </c>
      <c r="G529" s="10"/>
    </row>
    <row r="530" spans="1:7" x14ac:dyDescent="0.25">
      <c r="A530" s="7"/>
      <c r="B530" s="10"/>
      <c r="C530" s="10"/>
      <c r="D530" s="13"/>
      <c r="E530" s="17"/>
      <c r="F530" s="18">
        <f>IF(D530="","",D530*IF(E530="",1,E530))</f>
      </c>
      <c r="G530" s="10"/>
    </row>
    <row r="531" spans="1:7" x14ac:dyDescent="0.25">
      <c r="A531" s="7"/>
      <c r="B531" s="10"/>
      <c r="C531" s="10"/>
      <c r="D531" s="13"/>
      <c r="E531" s="17"/>
      <c r="F531" s="18">
        <f>IF(D531="","",D531*IF(E531="",1,E531))</f>
      </c>
      <c r="G531" s="10"/>
    </row>
    <row r="532" spans="1:7" x14ac:dyDescent="0.25">
      <c r="A532" s="7"/>
      <c r="B532" s="10"/>
      <c r="C532" s="10"/>
      <c r="D532" s="13"/>
      <c r="E532" s="17"/>
      <c r="F532" s="18">
        <f>IF(D532="","",D532*IF(E532="",1,E532))</f>
      </c>
      <c r="G532" s="10"/>
    </row>
    <row r="533" spans="1:7" x14ac:dyDescent="0.25">
      <c r="A533" s="7"/>
      <c r="B533" s="10"/>
      <c r="C533" s="10"/>
      <c r="D533" s="13"/>
      <c r="E533" s="17"/>
      <c r="F533" s="18">
        <f>IF(D533="","",D533*IF(E533="",1,E533))</f>
      </c>
      <c r="G533" s="10"/>
    </row>
    <row r="534" spans="1:7" x14ac:dyDescent="0.25">
      <c r="A534" s="7"/>
      <c r="B534" s="10"/>
      <c r="C534" s="10"/>
      <c r="D534" s="13"/>
      <c r="E534" s="17"/>
      <c r="F534" s="18">
        <f>IF(D534="","",D534*IF(E534="",1,E534))</f>
      </c>
      <c r="G534" s="10"/>
    </row>
    <row r="535" spans="1:7" x14ac:dyDescent="0.25">
      <c r="A535" s="7"/>
      <c r="B535" s="10"/>
      <c r="C535" s="10"/>
      <c r="D535" s="13"/>
      <c r="E535" s="17"/>
      <c r="F535" s="18">
        <f>IF(D535="","",D535*IF(E535="",1,E535))</f>
      </c>
      <c r="G535" s="10"/>
    </row>
    <row r="536" spans="1:7" x14ac:dyDescent="0.25">
      <c r="A536" s="7"/>
      <c r="B536" s="10"/>
      <c r="C536" s="10"/>
      <c r="D536" s="13"/>
      <c r="E536" s="17"/>
      <c r="F536" s="18">
        <f>IF(D536="","",D536*IF(E536="",1,E536))</f>
      </c>
      <c r="G536" s="10"/>
    </row>
    <row r="537" spans="1:7" x14ac:dyDescent="0.25">
      <c r="A537" s="7"/>
      <c r="B537" s="10"/>
      <c r="C537" s="10"/>
      <c r="D537" s="13"/>
      <c r="E537" s="17"/>
      <c r="F537" s="18">
        <f>IF(D537="","",D537*IF(E537="",1,E537))</f>
      </c>
      <c r="G537" s="10"/>
    </row>
    <row r="538" spans="1:7" x14ac:dyDescent="0.25">
      <c r="A538" s="7"/>
      <c r="B538" s="10"/>
      <c r="C538" s="10"/>
      <c r="D538" s="13"/>
      <c r="E538" s="17"/>
      <c r="F538" s="18">
        <f>IF(D538="","",D538*IF(E538="",1,E538))</f>
      </c>
      <c r="G538" s="10"/>
    </row>
    <row r="539" spans="1:7" x14ac:dyDescent="0.25">
      <c r="A539" s="7"/>
      <c r="B539" s="10"/>
      <c r="C539" s="10"/>
      <c r="D539" s="13"/>
      <c r="E539" s="17"/>
      <c r="F539" s="18">
        <f>IF(D539="","",D539*IF(E539="",1,E539))</f>
      </c>
      <c r="G539" s="10"/>
    </row>
    <row r="540" spans="1:7" x14ac:dyDescent="0.25">
      <c r="A540" s="7"/>
      <c r="B540" s="10"/>
      <c r="C540" s="10"/>
      <c r="D540" s="13"/>
      <c r="E540" s="17"/>
      <c r="F540" s="18">
        <f>IF(D540="","",D540*IF(E540="",1,E540))</f>
      </c>
      <c r="G540" s="10"/>
    </row>
    <row r="541" spans="1:7" x14ac:dyDescent="0.25">
      <c r="A541" s="7"/>
      <c r="B541" s="10"/>
      <c r="C541" s="10"/>
      <c r="D541" s="13"/>
      <c r="E541" s="17"/>
      <c r="F541" s="18">
        <f>IF(D541="","",D541*IF(E541="",1,E541))</f>
      </c>
      <c r="G541" s="10"/>
    </row>
    <row r="542" spans="1:7" x14ac:dyDescent="0.25">
      <c r="A542" s="7"/>
      <c r="B542" s="10"/>
      <c r="C542" s="10"/>
      <c r="D542" s="13"/>
      <c r="E542" s="17"/>
      <c r="F542" s="18">
        <f>IF(D542="","",D542*IF(E542="",1,E542))</f>
      </c>
      <c r="G542" s="10"/>
    </row>
    <row r="543" spans="1:7" x14ac:dyDescent="0.25">
      <c r="A543" s="7"/>
      <c r="B543" s="10"/>
      <c r="C543" s="10"/>
      <c r="D543" s="13"/>
      <c r="E543" s="17"/>
      <c r="F543" s="18">
        <f>IF(D543="","",D543*IF(E543="",1,E543))</f>
      </c>
      <c r="G543" s="10"/>
    </row>
    <row r="544" spans="1:7" x14ac:dyDescent="0.25">
      <c r="A544" s="7"/>
      <c r="B544" s="10"/>
      <c r="C544" s="10"/>
      <c r="D544" s="13"/>
      <c r="E544" s="17"/>
      <c r="F544" s="18">
        <f>IF(D544="","",D544*IF(E544="",1,E544))</f>
      </c>
      <c r="G544" s="10"/>
    </row>
    <row r="545" spans="1:7" x14ac:dyDescent="0.25">
      <c r="A545" s="7"/>
      <c r="B545" s="10"/>
      <c r="C545" s="10"/>
      <c r="D545" s="13"/>
      <c r="E545" s="17"/>
      <c r="F545" s="18">
        <f>IF(D545="","",D545*IF(E545="",1,E545))</f>
      </c>
      <c r="G545" s="10"/>
    </row>
    <row r="546" spans="1:7" x14ac:dyDescent="0.25">
      <c r="A546" s="7"/>
      <c r="B546" s="10"/>
      <c r="C546" s="10"/>
      <c r="D546" s="13"/>
      <c r="E546" s="17"/>
      <c r="F546" s="18">
        <f>IF(D546="","",D546*IF(E546="",1,E546))</f>
      </c>
      <c r="G546" s="10"/>
    </row>
    <row r="547" spans="1:7" x14ac:dyDescent="0.25">
      <c r="A547" s="7"/>
      <c r="B547" s="10"/>
      <c r="C547" s="10"/>
      <c r="D547" s="13"/>
      <c r="E547" s="17"/>
      <c r="F547" s="18">
        <f>IF(D547="","",D547*IF(E547="",1,E547))</f>
      </c>
      <c r="G547" s="10"/>
    </row>
    <row r="548" spans="1:7" x14ac:dyDescent="0.25">
      <c r="A548" s="7"/>
      <c r="B548" s="10"/>
      <c r="C548" s="10"/>
      <c r="D548" s="13"/>
      <c r="E548" s="17"/>
      <c r="F548" s="18">
        <f>IF(D548="","",D548*IF(E548="",1,E548))</f>
      </c>
      <c r="G548" s="10"/>
    </row>
    <row r="549" spans="1:7" x14ac:dyDescent="0.25">
      <c r="A549" s="7"/>
      <c r="B549" s="10"/>
      <c r="C549" s="10"/>
      <c r="D549" s="13"/>
      <c r="E549" s="17"/>
      <c r="F549" s="18">
        <f>IF(D549="","",D549*IF(E549="",1,E549))</f>
      </c>
      <c r="G549" s="10"/>
    </row>
    <row r="550" spans="1:7" x14ac:dyDescent="0.25">
      <c r="A550" s="7"/>
      <c r="B550" s="10"/>
      <c r="C550" s="10"/>
      <c r="D550" s="13"/>
      <c r="E550" s="17"/>
      <c r="F550" s="18">
        <f>IF(D550="","",D550*IF(E550="",1,E550))</f>
      </c>
      <c r="G550" s="10"/>
    </row>
    <row r="551" spans="1:7" x14ac:dyDescent="0.25">
      <c r="A551" s="7"/>
      <c r="B551" s="10"/>
      <c r="C551" s="10"/>
      <c r="D551" s="13"/>
      <c r="E551" s="17"/>
      <c r="F551" s="18">
        <f>IF(D551="","",D551*IF(E551="",1,E551))</f>
      </c>
      <c r="G551" s="10"/>
    </row>
    <row r="552" spans="1:7" x14ac:dyDescent="0.25">
      <c r="A552" s="7"/>
      <c r="B552" s="10"/>
      <c r="C552" s="10"/>
      <c r="D552" s="13"/>
      <c r="E552" s="17"/>
      <c r="F552" s="18">
        <f>IF(D552="","",D552*IF(E552="",1,E552))</f>
      </c>
      <c r="G552" s="10"/>
    </row>
    <row r="553" spans="1:7" x14ac:dyDescent="0.25">
      <c r="A553" s="7"/>
      <c r="B553" s="10"/>
      <c r="C553" s="10"/>
      <c r="D553" s="13"/>
      <c r="E553" s="17"/>
      <c r="F553" s="18">
        <f>IF(D553="","",D553*IF(E553="",1,E553))</f>
      </c>
      <c r="G553" s="10"/>
    </row>
    <row r="554" spans="1:7" x14ac:dyDescent="0.25">
      <c r="A554" s="7"/>
      <c r="B554" s="10"/>
      <c r="C554" s="10"/>
      <c r="D554" s="13"/>
      <c r="E554" s="17"/>
      <c r="F554" s="18">
        <f>IF(D554="","",D554*IF(E554="",1,E554))</f>
      </c>
      <c r="G554" s="10"/>
    </row>
    <row r="555" spans="1:7" x14ac:dyDescent="0.25">
      <c r="A555" s="7"/>
      <c r="B555" s="10"/>
      <c r="C555" s="10"/>
      <c r="D555" s="13"/>
      <c r="E555" s="17"/>
      <c r="F555" s="18">
        <f>IF(D555="","",D555*IF(E555="",1,E555))</f>
      </c>
      <c r="G555" s="10"/>
    </row>
    <row r="556" spans="1:7" x14ac:dyDescent="0.25">
      <c r="A556" s="7"/>
      <c r="B556" s="10"/>
      <c r="C556" s="10"/>
      <c r="D556" s="13"/>
      <c r="E556" s="17"/>
      <c r="F556" s="18">
        <f>IF(D556="","",D556*IF(E556="",1,E556))</f>
      </c>
      <c r="G556" s="10"/>
    </row>
    <row r="557" spans="1:7" x14ac:dyDescent="0.25">
      <c r="A557" s="7"/>
      <c r="B557" s="10"/>
      <c r="C557" s="10"/>
      <c r="D557" s="13"/>
      <c r="E557" s="17"/>
      <c r="F557" s="18">
        <f>IF(D557="","",D557*IF(E557="",1,E557))</f>
      </c>
      <c r="G557" s="10"/>
    </row>
    <row r="558" spans="1:7" x14ac:dyDescent="0.25">
      <c r="A558" s="7"/>
      <c r="B558" s="10"/>
      <c r="C558" s="10"/>
      <c r="D558" s="13"/>
      <c r="E558" s="17"/>
      <c r="F558" s="18">
        <f>IF(D558="","",D558*IF(E558="",1,E558))</f>
      </c>
      <c r="G558" s="10"/>
    </row>
    <row r="559" spans="1:7" x14ac:dyDescent="0.25">
      <c r="A559" s="7"/>
      <c r="B559" s="10"/>
      <c r="C559" s="10"/>
      <c r="D559" s="13"/>
      <c r="E559" s="17"/>
      <c r="F559" s="18">
        <f>IF(D559="","",D559*IF(E559="",1,E559))</f>
      </c>
      <c r="G559" s="10"/>
    </row>
    <row r="560" spans="1:7" x14ac:dyDescent="0.25">
      <c r="A560" s="7"/>
      <c r="B560" s="10"/>
      <c r="C560" s="10"/>
      <c r="D560" s="13"/>
      <c r="E560" s="17"/>
      <c r="F560" s="18">
        <f>IF(D560="","",D560*IF(E560="",1,E560))</f>
      </c>
      <c r="G560" s="10"/>
    </row>
    <row r="561" spans="1:7" x14ac:dyDescent="0.25">
      <c r="A561" s="7"/>
      <c r="B561" s="10"/>
      <c r="C561" s="10"/>
      <c r="D561" s="13"/>
      <c r="E561" s="17"/>
      <c r="F561" s="18">
        <f>IF(D561="","",D561*IF(E561="",1,E561))</f>
      </c>
      <c r="G561" s="10"/>
    </row>
    <row r="562" spans="1:7" x14ac:dyDescent="0.25">
      <c r="A562" s="7"/>
      <c r="B562" s="10"/>
      <c r="C562" s="10"/>
      <c r="D562" s="13"/>
      <c r="E562" s="17"/>
      <c r="F562" s="18">
        <f>IF(D562="","",D562*IF(E562="",1,E562))</f>
      </c>
      <c r="G562" s="10"/>
    </row>
    <row r="563" spans="1:7" x14ac:dyDescent="0.25">
      <c r="A563" s="7"/>
      <c r="B563" s="10"/>
      <c r="C563" s="10"/>
      <c r="D563" s="13"/>
      <c r="E563" s="17"/>
      <c r="F563" s="18">
        <f>IF(D563="","",D563*IF(E563="",1,E563))</f>
      </c>
      <c r="G563" s="10"/>
    </row>
    <row r="564" spans="1:7" x14ac:dyDescent="0.25">
      <c r="A564" s="7"/>
      <c r="B564" s="10"/>
      <c r="C564" s="10"/>
      <c r="D564" s="13"/>
      <c r="E564" s="17"/>
      <c r="F564" s="18">
        <f>IF(D564="","",D564*IF(E564="",1,E564))</f>
      </c>
      <c r="G564" s="10"/>
    </row>
    <row r="565" spans="1:7" x14ac:dyDescent="0.25">
      <c r="A565" s="7"/>
      <c r="B565" s="10"/>
      <c r="C565" s="10"/>
      <c r="D565" s="13"/>
      <c r="E565" s="17"/>
      <c r="F565" s="18">
        <f>IF(D565="","",D565*IF(E565="",1,E565))</f>
      </c>
      <c r="G565" s="10"/>
    </row>
    <row r="566" spans="1:7" x14ac:dyDescent="0.25">
      <c r="A566" s="7"/>
      <c r="B566" s="10"/>
      <c r="C566" s="10"/>
      <c r="D566" s="13"/>
      <c r="E566" s="17"/>
      <c r="F566" s="18">
        <f>IF(D566="","",D566*IF(E566="",1,E566))</f>
      </c>
      <c r="G566" s="10"/>
    </row>
    <row r="567" spans="1:7" x14ac:dyDescent="0.25">
      <c r="A567" s="7"/>
      <c r="B567" s="10"/>
      <c r="C567" s="10"/>
      <c r="D567" s="13"/>
      <c r="E567" s="17"/>
      <c r="F567" s="18">
        <f>IF(D567="","",D567*IF(E567="",1,E567))</f>
      </c>
      <c r="G567" s="10"/>
    </row>
    <row r="568" spans="1:7" x14ac:dyDescent="0.25">
      <c r="A568" s="7"/>
      <c r="B568" s="10"/>
      <c r="C568" s="10"/>
      <c r="D568" s="13"/>
      <c r="E568" s="17"/>
      <c r="F568" s="18">
        <f>IF(D568="","",D568*IF(E568="",1,E568))</f>
      </c>
      <c r="G568" s="10"/>
    </row>
    <row r="569" spans="1:7" x14ac:dyDescent="0.25">
      <c r="A569" s="7"/>
      <c r="B569" s="10"/>
      <c r="C569" s="10"/>
      <c r="D569" s="13"/>
      <c r="E569" s="17"/>
      <c r="F569" s="18">
        <f>IF(D569="","",D569*IF(E569="",1,E569))</f>
      </c>
      <c r="G569" s="10"/>
    </row>
    <row r="570" spans="1:7" x14ac:dyDescent="0.25">
      <c r="A570" s="7"/>
      <c r="B570" s="10"/>
      <c r="C570" s="10"/>
      <c r="D570" s="13"/>
      <c r="E570" s="17"/>
      <c r="F570" s="18">
        <f>IF(D570="","",D570*IF(E570="",1,E570))</f>
      </c>
      <c r="G570" s="10"/>
    </row>
    <row r="571" spans="1:7" x14ac:dyDescent="0.25">
      <c r="A571" s="7"/>
      <c r="B571" s="10"/>
      <c r="C571" s="10"/>
      <c r="D571" s="13"/>
      <c r="E571" s="17"/>
      <c r="F571" s="18">
        <f>IF(D571="","",D571*IF(E571="",1,E571))</f>
      </c>
      <c r="G571" s="10"/>
    </row>
    <row r="572" spans="1:7" x14ac:dyDescent="0.25">
      <c r="A572" s="7"/>
      <c r="B572" s="10"/>
      <c r="C572" s="10"/>
      <c r="D572" s="13"/>
      <c r="E572" s="17"/>
      <c r="F572" s="18">
        <f>IF(D572="","",D572*IF(E572="",1,E572))</f>
      </c>
      <c r="G572" s="10"/>
    </row>
    <row r="573" spans="1:7" x14ac:dyDescent="0.25">
      <c r="A573" s="7"/>
      <c r="B573" s="10"/>
      <c r="C573" s="10"/>
      <c r="D573" s="13"/>
      <c r="E573" s="17"/>
      <c r="F573" s="18">
        <f>IF(D573="","",D573*IF(E573="",1,E573))</f>
      </c>
      <c r="G573" s="10"/>
    </row>
    <row r="574" spans="1:7" x14ac:dyDescent="0.25">
      <c r="A574" s="7"/>
      <c r="B574" s="10"/>
      <c r="C574" s="10"/>
      <c r="D574" s="13"/>
      <c r="E574" s="17"/>
      <c r="F574" s="18">
        <f>IF(D574="","",D574*IF(E574="",1,E574))</f>
      </c>
      <c r="G574" s="10"/>
    </row>
    <row r="575" spans="1:7" x14ac:dyDescent="0.25">
      <c r="A575" s="7"/>
      <c r="B575" s="10"/>
      <c r="C575" s="10"/>
      <c r="D575" s="13"/>
      <c r="E575" s="17"/>
      <c r="F575" s="18">
        <f>IF(D575="","",D575*IF(E575="",1,E575))</f>
      </c>
      <c r="G575" s="10"/>
    </row>
    <row r="576" spans="1:7" x14ac:dyDescent="0.25">
      <c r="A576" s="7"/>
      <c r="B576" s="10"/>
      <c r="C576" s="10"/>
      <c r="D576" s="13"/>
      <c r="E576" s="17"/>
      <c r="F576" s="18">
        <f>IF(D576="","",D576*IF(E576="",1,E576))</f>
      </c>
      <c r="G576" s="10"/>
    </row>
    <row r="577" spans="1:7" x14ac:dyDescent="0.25">
      <c r="A577" s="7"/>
      <c r="B577" s="10"/>
      <c r="C577" s="10"/>
      <c r="D577" s="13"/>
      <c r="E577" s="17"/>
      <c r="F577" s="18">
        <f>IF(D577="","",D577*IF(E577="",1,E577))</f>
      </c>
      <c r="G577" s="10"/>
    </row>
    <row r="578" spans="1:7" x14ac:dyDescent="0.25">
      <c r="A578" s="7"/>
      <c r="B578" s="10"/>
      <c r="C578" s="10"/>
      <c r="D578" s="13"/>
      <c r="E578" s="17"/>
      <c r="F578" s="18">
        <f>IF(D578="","",D578*IF(E578="",1,E578))</f>
      </c>
      <c r="G578" s="10"/>
    </row>
    <row r="579" spans="1:7" x14ac:dyDescent="0.25">
      <c r="A579" s="7"/>
      <c r="B579" s="10"/>
      <c r="C579" s="10"/>
      <c r="D579" s="13"/>
      <c r="E579" s="17"/>
      <c r="F579" s="18">
        <f>IF(D579="","",D579*IF(E579="",1,E579))</f>
      </c>
      <c r="G579" s="10"/>
    </row>
    <row r="580" spans="1:7" x14ac:dyDescent="0.25">
      <c r="A580" s="7"/>
      <c r="B580" s="10"/>
      <c r="C580" s="10"/>
      <c r="D580" s="13"/>
      <c r="E580" s="17"/>
      <c r="F580" s="18">
        <f>IF(D580="","",D580*IF(E580="",1,E580))</f>
      </c>
      <c r="G580" s="10"/>
    </row>
    <row r="581" spans="1:7" x14ac:dyDescent="0.25">
      <c r="A581" s="7"/>
      <c r="B581" s="10"/>
      <c r="C581" s="10"/>
      <c r="D581" s="13"/>
      <c r="E581" s="17"/>
      <c r="F581" s="18">
        <f>IF(D581="","",D581*IF(E581="",1,E581))</f>
      </c>
      <c r="G581" s="10"/>
    </row>
    <row r="582" spans="1:7" x14ac:dyDescent="0.25">
      <c r="A582" s="7"/>
      <c r="B582" s="10"/>
      <c r="C582" s="10"/>
      <c r="D582" s="13"/>
      <c r="E582" s="17"/>
      <c r="F582" s="18">
        <f>IF(D582="","",D582*IF(E582="",1,E582))</f>
      </c>
      <c r="G582" s="10"/>
    </row>
    <row r="583" spans="1:7" x14ac:dyDescent="0.25">
      <c r="A583" s="7"/>
      <c r="B583" s="10"/>
      <c r="C583" s="10"/>
      <c r="D583" s="13"/>
      <c r="E583" s="17"/>
      <c r="F583" s="18">
        <f>IF(D583="","",D583*IF(E583="",1,E583))</f>
      </c>
      <c r="G583" s="10"/>
    </row>
    <row r="584" spans="1:7" x14ac:dyDescent="0.25">
      <c r="A584" s="7"/>
      <c r="B584" s="10"/>
      <c r="C584" s="10"/>
      <c r="D584" s="13"/>
      <c r="E584" s="17"/>
      <c r="F584" s="18">
        <f>IF(D584="","",D584*IF(E584="",1,E584))</f>
      </c>
      <c r="G584" s="10"/>
    </row>
    <row r="585" spans="1:7" x14ac:dyDescent="0.25">
      <c r="A585" s="7"/>
      <c r="B585" s="10"/>
      <c r="C585" s="10"/>
      <c r="D585" s="13"/>
      <c r="E585" s="17"/>
      <c r="F585" s="18">
        <f>IF(D585="","",D585*IF(E585="",1,E585))</f>
      </c>
      <c r="G585" s="10"/>
    </row>
    <row r="586" spans="1:7" x14ac:dyDescent="0.25">
      <c r="A586" s="7"/>
      <c r="B586" s="10"/>
      <c r="C586" s="10"/>
      <c r="D586" s="13"/>
      <c r="E586" s="17"/>
      <c r="F586" s="18">
        <f>IF(D586="","",D586*IF(E586="",1,E586))</f>
      </c>
      <c r="G586" s="10"/>
    </row>
    <row r="587" spans="1:7" x14ac:dyDescent="0.25">
      <c r="A587" s="7"/>
      <c r="B587" s="10"/>
      <c r="C587" s="10"/>
      <c r="D587" s="13"/>
      <c r="E587" s="17"/>
      <c r="F587" s="18">
        <f>IF(D587="","",D587*IF(E587="",1,E587))</f>
      </c>
      <c r="G587" s="10"/>
    </row>
    <row r="588" spans="1:7" x14ac:dyDescent="0.25">
      <c r="A588" s="7"/>
      <c r="B588" s="10"/>
      <c r="C588" s="10"/>
      <c r="D588" s="13"/>
      <c r="E588" s="17"/>
      <c r="F588" s="18">
        <f>IF(D588="","",D588*IF(E588="",1,E588))</f>
      </c>
      <c r="G588" s="10"/>
    </row>
    <row r="589" spans="1:7" x14ac:dyDescent="0.25">
      <c r="A589" s="7"/>
      <c r="B589" s="10"/>
      <c r="C589" s="10"/>
      <c r="D589" s="13"/>
      <c r="E589" s="17"/>
      <c r="F589" s="18">
        <f>IF(D589="","",D589*IF(E589="",1,E589))</f>
      </c>
      <c r="G589" s="10"/>
    </row>
    <row r="590" spans="1:7" x14ac:dyDescent="0.25">
      <c r="A590" s="7"/>
      <c r="B590" s="10"/>
      <c r="C590" s="10"/>
      <c r="D590" s="13"/>
      <c r="E590" s="17"/>
      <c r="F590" s="18">
        <f>IF(D590="","",D590*IF(E590="",1,E590))</f>
      </c>
      <c r="G590" s="10"/>
    </row>
    <row r="591" spans="1:7" x14ac:dyDescent="0.25">
      <c r="A591" s="7"/>
      <c r="B591" s="10"/>
      <c r="C591" s="10"/>
      <c r="D591" s="13"/>
      <c r="E591" s="17"/>
      <c r="F591" s="18">
        <f>IF(D591="","",D591*IF(E591="",1,E591))</f>
      </c>
      <c r="G591" s="10"/>
    </row>
    <row r="592" spans="1:7" x14ac:dyDescent="0.25">
      <c r="A592" s="7"/>
      <c r="B592" s="10"/>
      <c r="C592" s="10"/>
      <c r="D592" s="13"/>
      <c r="E592" s="17"/>
      <c r="F592" s="18">
        <f>IF(D592="","",D592*IF(E592="",1,E592))</f>
      </c>
      <c r="G592" s="10"/>
    </row>
    <row r="593" spans="1:7" x14ac:dyDescent="0.25">
      <c r="A593" s="7"/>
      <c r="B593" s="10"/>
      <c r="C593" s="10"/>
      <c r="D593" s="13"/>
      <c r="E593" s="17"/>
      <c r="F593" s="18">
        <f>IF(D593="","",D593*IF(E593="",1,E593))</f>
      </c>
      <c r="G593" s="10"/>
    </row>
    <row r="594" spans="1:7" x14ac:dyDescent="0.25">
      <c r="A594" s="7"/>
      <c r="B594" s="10"/>
      <c r="C594" s="10"/>
      <c r="D594" s="13"/>
      <c r="E594" s="17"/>
      <c r="F594" s="18">
        <f>IF(D594="","",D594*IF(E594="",1,E594))</f>
      </c>
      <c r="G594" s="10"/>
    </row>
    <row r="595" spans="1:7" x14ac:dyDescent="0.25">
      <c r="A595" s="7"/>
      <c r="B595" s="10"/>
      <c r="C595" s="10"/>
      <c r="D595" s="13"/>
      <c r="E595" s="17"/>
      <c r="F595" s="18">
        <f>IF(D595="","",D595*IF(E595="",1,E595))</f>
      </c>
      <c r="G595" s="10"/>
    </row>
    <row r="596" spans="1:7" x14ac:dyDescent="0.25">
      <c r="A596" s="7"/>
      <c r="B596" s="10"/>
      <c r="C596" s="10"/>
      <c r="D596" s="13"/>
      <c r="E596" s="17"/>
      <c r="F596" s="18">
        <f>IF(D596="","",D596*IF(E596="",1,E596))</f>
      </c>
      <c r="G596" s="10"/>
    </row>
    <row r="597" spans="1:7" x14ac:dyDescent="0.25">
      <c r="A597" s="7"/>
      <c r="B597" s="10"/>
      <c r="C597" s="10"/>
      <c r="D597" s="13"/>
      <c r="E597" s="17"/>
      <c r="F597" s="18">
        <f>IF(D597="","",D597*IF(E597="",1,E597))</f>
      </c>
      <c r="G597" s="10"/>
    </row>
    <row r="598" spans="1:7" x14ac:dyDescent="0.25">
      <c r="A598" s="7"/>
      <c r="B598" s="10"/>
      <c r="C598" s="10"/>
      <c r="D598" s="13"/>
      <c r="E598" s="17"/>
      <c r="F598" s="18">
        <f>IF(D598="","",D598*IF(E598="",1,E598))</f>
      </c>
      <c r="G598" s="10"/>
    </row>
    <row r="599" spans="1:7" x14ac:dyDescent="0.25">
      <c r="A599" s="7"/>
      <c r="B599" s="10"/>
      <c r="C599" s="10"/>
      <c r="D599" s="13"/>
      <c r="E599" s="17"/>
      <c r="F599" s="18">
        <f>IF(D599="","",D599*IF(E599="",1,E599))</f>
      </c>
      <c r="G599" s="10"/>
    </row>
    <row r="600" spans="1:7" x14ac:dyDescent="0.25">
      <c r="A600" s="7"/>
      <c r="B600" s="10"/>
      <c r="C600" s="10"/>
      <c r="D600" s="13"/>
      <c r="E600" s="17"/>
      <c r="F600" s="18">
        <f>IF(D600="","",D600*IF(E600="",1,E600))</f>
      </c>
      <c r="G600" s="10"/>
    </row>
    <row r="601" spans="1:7" x14ac:dyDescent="0.25">
      <c r="A601" s="7"/>
      <c r="B601" s="10"/>
      <c r="C601" s="10"/>
      <c r="D601" s="13"/>
      <c r="E601" s="17"/>
      <c r="F601" s="18">
        <f>IF(D601="","",D601*IF(E601="",1,E601))</f>
      </c>
      <c r="G601" s="10"/>
    </row>
    <row r="602" spans="1:7" x14ac:dyDescent="0.25">
      <c r="A602" s="7"/>
      <c r="B602" s="10"/>
      <c r="C602" s="10"/>
      <c r="D602" s="13"/>
      <c r="E602" s="17"/>
      <c r="F602" s="18">
        <f>IF(D602="","",D602*IF(E602="",1,E602))</f>
      </c>
      <c r="G602" s="10"/>
    </row>
    <row r="603" spans="1:7" x14ac:dyDescent="0.25">
      <c r="A603" s="7"/>
      <c r="B603" s="10"/>
      <c r="C603" s="10"/>
      <c r="D603" s="13"/>
      <c r="E603" s="17"/>
      <c r="F603" s="18">
        <f>IF(D603="","",D603*IF(E603="",1,E603))</f>
      </c>
      <c r="G603" s="10"/>
    </row>
    <row r="604" spans="1:7" x14ac:dyDescent="0.25">
      <c r="A604" s="7"/>
      <c r="B604" s="10"/>
      <c r="C604" s="10"/>
      <c r="D604" s="13"/>
      <c r="E604" s="17"/>
      <c r="F604" s="18">
        <f>IF(D604="","",D604*IF(E604="",1,E604))</f>
      </c>
      <c r="G604" s="10"/>
    </row>
    <row r="605" spans="1:7" x14ac:dyDescent="0.25">
      <c r="A605" s="7"/>
      <c r="B605" s="10"/>
      <c r="C605" s="10"/>
      <c r="D605" s="13"/>
      <c r="E605" s="17"/>
      <c r="F605" s="18">
        <f>IF(D605="","",D605*IF(E605="",1,E605))</f>
      </c>
      <c r="G605" s="10"/>
    </row>
    <row r="606" spans="1:7" x14ac:dyDescent="0.25">
      <c r="A606" s="7"/>
      <c r="B606" s="10"/>
      <c r="C606" s="10"/>
      <c r="D606" s="13"/>
      <c r="E606" s="17"/>
      <c r="F606" s="18">
        <f>IF(D606="","",D606*IF(E606="",1,E606))</f>
      </c>
      <c r="G606" s="10"/>
    </row>
    <row r="607" spans="1:7" x14ac:dyDescent="0.25">
      <c r="A607" s="7"/>
      <c r="B607" s="10"/>
      <c r="C607" s="10"/>
      <c r="D607" s="13"/>
      <c r="E607" s="17"/>
      <c r="F607" s="18">
        <f>IF(D607="","",D607*IF(E607="",1,E607))</f>
      </c>
      <c r="G607" s="10"/>
    </row>
    <row r="608" spans="1:7" x14ac:dyDescent="0.25">
      <c r="A608" s="7"/>
      <c r="B608" s="10"/>
      <c r="C608" s="10"/>
      <c r="D608" s="13"/>
      <c r="E608" s="17"/>
      <c r="F608" s="18">
        <f>IF(D608="","",D608*IF(E608="",1,E608))</f>
      </c>
      <c r="G608" s="10"/>
    </row>
    <row r="609" spans="1:7" x14ac:dyDescent="0.25">
      <c r="A609" s="7"/>
      <c r="B609" s="10"/>
      <c r="C609" s="10"/>
      <c r="D609" s="13"/>
      <c r="E609" s="17"/>
      <c r="F609" s="18">
        <f>IF(D609="","",D609*IF(E609="",1,E609))</f>
      </c>
      <c r="G609" s="10"/>
    </row>
    <row r="610" spans="1:7" x14ac:dyDescent="0.25">
      <c r="A610" s="7"/>
      <c r="B610" s="10"/>
      <c r="C610" s="10"/>
      <c r="D610" s="13"/>
      <c r="E610" s="17"/>
      <c r="F610" s="18">
        <f>IF(D610="","",D610*IF(E610="",1,E610))</f>
      </c>
      <c r="G610" s="10"/>
    </row>
    <row r="611" spans="1:7" x14ac:dyDescent="0.25">
      <c r="A611" s="7"/>
      <c r="B611" s="10"/>
      <c r="C611" s="10"/>
      <c r="D611" s="13"/>
      <c r="E611" s="17"/>
      <c r="F611" s="18">
        <f>IF(D611="","",D611*IF(E611="",1,E611))</f>
      </c>
      <c r="G611" s="10"/>
    </row>
    <row r="612" spans="1:7" x14ac:dyDescent="0.25">
      <c r="A612" s="7"/>
      <c r="B612" s="10"/>
      <c r="C612" s="10"/>
      <c r="D612" s="13"/>
      <c r="E612" s="17"/>
      <c r="F612" s="18">
        <f>IF(D612="","",D612*IF(E612="",1,E612))</f>
      </c>
      <c r="G612" s="10"/>
    </row>
    <row r="613" spans="1:7" x14ac:dyDescent="0.25">
      <c r="A613" s="7"/>
      <c r="B613" s="10"/>
      <c r="C613" s="10"/>
      <c r="D613" s="13"/>
      <c r="E613" s="17"/>
      <c r="F613" s="18">
        <f>IF(D613="","",D613*IF(E613="",1,E613))</f>
      </c>
      <c r="G613" s="10"/>
    </row>
    <row r="614" spans="1:7" x14ac:dyDescent="0.25">
      <c r="A614" s="7"/>
      <c r="B614" s="10"/>
      <c r="C614" s="10"/>
      <c r="D614" s="13"/>
      <c r="E614" s="17"/>
      <c r="F614" s="18">
        <f>IF(D614="","",D614*IF(E614="",1,E614))</f>
      </c>
      <c r="G614" s="10"/>
    </row>
    <row r="615" spans="1:7" x14ac:dyDescent="0.25">
      <c r="A615" s="7"/>
      <c r="B615" s="10"/>
      <c r="C615" s="10"/>
      <c r="D615" s="13"/>
      <c r="E615" s="17"/>
      <c r="F615" s="18">
        <f>IF(D615="","",D615*IF(E615="",1,E615))</f>
      </c>
      <c r="G615" s="10"/>
    </row>
    <row r="616" spans="1:7" x14ac:dyDescent="0.25">
      <c r="A616" s="7"/>
      <c r="B616" s="10"/>
      <c r="C616" s="10"/>
      <c r="D616" s="13"/>
      <c r="E616" s="17"/>
      <c r="F616" s="18">
        <f>IF(D616="","",D616*IF(E616="",1,E616))</f>
      </c>
      <c r="G616" s="10"/>
    </row>
    <row r="617" spans="1:7" x14ac:dyDescent="0.25">
      <c r="A617" s="7"/>
      <c r="B617" s="10"/>
      <c r="C617" s="10"/>
      <c r="D617" s="13"/>
      <c r="E617" s="17"/>
      <c r="F617" s="18">
        <f>IF(D617="","",D617*IF(E617="",1,E617))</f>
      </c>
      <c r="G617" s="10"/>
    </row>
    <row r="618" spans="1:7" x14ac:dyDescent="0.25">
      <c r="A618" s="7"/>
      <c r="B618" s="10"/>
      <c r="C618" s="10"/>
      <c r="D618" s="13"/>
      <c r="E618" s="17"/>
      <c r="F618" s="18">
        <f>IF(D618="","",D618*IF(E618="",1,E618))</f>
      </c>
      <c r="G618" s="10"/>
    </row>
    <row r="619" spans="1:7" x14ac:dyDescent="0.25">
      <c r="A619" s="7"/>
      <c r="B619" s="10"/>
      <c r="C619" s="10"/>
      <c r="D619" s="13"/>
      <c r="E619" s="17"/>
      <c r="F619" s="18">
        <f>IF(D619="","",D619*IF(E619="",1,E619))</f>
      </c>
      <c r="G619" s="10"/>
    </row>
    <row r="620" spans="1:7" x14ac:dyDescent="0.25">
      <c r="A620" s="7"/>
      <c r="B620" s="10"/>
      <c r="C620" s="10"/>
      <c r="D620" s="13"/>
      <c r="E620" s="17"/>
      <c r="F620" s="18">
        <f>IF(D620="","",D620*IF(E620="",1,E620))</f>
      </c>
      <c r="G620" s="10"/>
    </row>
    <row r="621" spans="1:7" x14ac:dyDescent="0.25">
      <c r="A621" s="7"/>
      <c r="B621" s="10"/>
      <c r="C621" s="10"/>
      <c r="D621" s="13"/>
      <c r="E621" s="17"/>
      <c r="F621" s="18">
        <f>IF(D621="","",D621*IF(E621="",1,E621))</f>
      </c>
      <c r="G621" s="10"/>
    </row>
    <row r="622" spans="1:7" x14ac:dyDescent="0.25">
      <c r="A622" s="7"/>
      <c r="B622" s="10"/>
      <c r="C622" s="10"/>
      <c r="D622" s="13"/>
      <c r="E622" s="17"/>
      <c r="F622" s="18">
        <f>IF(D622="","",D622*IF(E622="",1,E622))</f>
      </c>
      <c r="G622" s="10"/>
    </row>
    <row r="623" spans="1:7" x14ac:dyDescent="0.25">
      <c r="A623" s="7"/>
      <c r="B623" s="10"/>
      <c r="C623" s="10"/>
      <c r="D623" s="13"/>
      <c r="E623" s="17"/>
      <c r="F623" s="18">
        <f>IF(D623="","",D623*IF(E623="",1,E623))</f>
      </c>
      <c r="G623" s="10"/>
    </row>
    <row r="624" spans="1:7" x14ac:dyDescent="0.25">
      <c r="A624" s="7"/>
      <c r="B624" s="10"/>
      <c r="C624" s="10"/>
      <c r="D624" s="13"/>
      <c r="E624" s="17"/>
      <c r="F624" s="18">
        <f>IF(D624="","",D624*IF(E624="",1,E624))</f>
      </c>
      <c r="G624" s="10"/>
    </row>
    <row r="625" spans="1:7" x14ac:dyDescent="0.25">
      <c r="A625" s="7"/>
      <c r="B625" s="10"/>
      <c r="C625" s="10"/>
      <c r="D625" s="13"/>
      <c r="E625" s="17"/>
      <c r="F625" s="18">
        <f>IF(D625="","",D625*IF(E625="",1,E625))</f>
      </c>
      <c r="G625" s="10"/>
    </row>
    <row r="626" spans="1:7" x14ac:dyDescent="0.25">
      <c r="A626" s="7"/>
      <c r="B626" s="10"/>
      <c r="C626" s="10"/>
      <c r="D626" s="13"/>
      <c r="E626" s="17"/>
      <c r="F626" s="18">
        <f>IF(D626="","",D626*IF(E626="",1,E626))</f>
      </c>
      <c r="G626" s="10"/>
    </row>
    <row r="627" spans="1:7" x14ac:dyDescent="0.25">
      <c r="A627" s="7"/>
      <c r="B627" s="10"/>
      <c r="C627" s="10"/>
      <c r="D627" s="13"/>
      <c r="E627" s="17"/>
      <c r="F627" s="18">
        <f>IF(D627="","",D627*IF(E627="",1,E627))</f>
      </c>
      <c r="G627" s="10"/>
    </row>
    <row r="628" spans="1:7" x14ac:dyDescent="0.25">
      <c r="A628" s="7"/>
      <c r="B628" s="10"/>
      <c r="C628" s="10"/>
      <c r="D628" s="13"/>
      <c r="E628" s="17"/>
      <c r="F628" s="18">
        <f>IF(D628="","",D628*IF(E628="",1,E628))</f>
      </c>
      <c r="G628" s="10"/>
    </row>
    <row r="629" spans="1:7" x14ac:dyDescent="0.25">
      <c r="A629" s="7"/>
      <c r="B629" s="10"/>
      <c r="C629" s="10"/>
      <c r="D629" s="13"/>
      <c r="E629" s="17"/>
      <c r="F629" s="18">
        <f>IF(D629="","",D629*IF(E629="",1,E629))</f>
      </c>
      <c r="G629" s="10"/>
    </row>
    <row r="630" spans="1:7" x14ac:dyDescent="0.25">
      <c r="A630" s="7"/>
      <c r="B630" s="10"/>
      <c r="C630" s="10"/>
      <c r="D630" s="13"/>
      <c r="E630" s="17"/>
      <c r="F630" s="18">
        <f>IF(D630="","",D630*IF(E630="",1,E630))</f>
      </c>
      <c r="G630" s="10"/>
    </row>
    <row r="631" spans="1:7" x14ac:dyDescent="0.25">
      <c r="A631" s="7"/>
      <c r="B631" s="10"/>
      <c r="C631" s="10"/>
      <c r="D631" s="13"/>
      <c r="E631" s="17"/>
      <c r="F631" s="18">
        <f>IF(D631="","",D631*IF(E631="",1,E631))</f>
      </c>
      <c r="G631" s="10"/>
    </row>
    <row r="632" spans="1:7" x14ac:dyDescent="0.25">
      <c r="A632" s="7"/>
      <c r="B632" s="10"/>
      <c r="C632" s="10"/>
      <c r="D632" s="13"/>
      <c r="E632" s="17"/>
      <c r="F632" s="18">
        <f>IF(D632="","",D632*IF(E632="",1,E632))</f>
      </c>
      <c r="G632" s="10"/>
    </row>
    <row r="633" spans="1:7" x14ac:dyDescent="0.25">
      <c r="A633" s="7"/>
      <c r="B633" s="10"/>
      <c r="C633" s="10"/>
      <c r="D633" s="13"/>
      <c r="E633" s="17"/>
      <c r="F633" s="18">
        <f>IF(D633="","",D633*IF(E633="",1,E633))</f>
      </c>
      <c r="G633" s="10"/>
    </row>
    <row r="634" spans="1:7" x14ac:dyDescent="0.25">
      <c r="A634" s="7"/>
      <c r="B634" s="10"/>
      <c r="C634" s="10"/>
      <c r="D634" s="13"/>
      <c r="E634" s="17"/>
      <c r="F634" s="18">
        <f>IF(D634="","",D634*IF(E634="",1,E634))</f>
      </c>
      <c r="G634" s="10"/>
    </row>
    <row r="635" spans="1:7" x14ac:dyDescent="0.25">
      <c r="A635" s="7"/>
      <c r="B635" s="10"/>
      <c r="C635" s="10"/>
      <c r="D635" s="13"/>
      <c r="E635" s="17"/>
      <c r="F635" s="18">
        <f>IF(D635="","",D635*IF(E635="",1,E635))</f>
      </c>
      <c r="G635" s="10"/>
    </row>
    <row r="636" spans="1:7" x14ac:dyDescent="0.25">
      <c r="A636" s="7"/>
      <c r="B636" s="10"/>
      <c r="C636" s="10"/>
      <c r="D636" s="13"/>
      <c r="E636" s="17"/>
      <c r="F636" s="18">
        <f>IF(D636="","",D636*IF(E636="",1,E636))</f>
      </c>
      <c r="G636" s="10"/>
    </row>
    <row r="637" spans="1:7" x14ac:dyDescent="0.25">
      <c r="A637" s="7"/>
      <c r="B637" s="10"/>
      <c r="C637" s="10"/>
      <c r="D637" s="13"/>
      <c r="E637" s="17"/>
      <c r="F637" s="18">
        <f>IF(D637="","",D637*IF(E637="",1,E637))</f>
      </c>
      <c r="G637" s="10"/>
    </row>
    <row r="638" spans="1:7" x14ac:dyDescent="0.25">
      <c r="A638" s="7"/>
      <c r="B638" s="10"/>
      <c r="C638" s="10"/>
      <c r="D638" s="13"/>
      <c r="E638" s="17"/>
      <c r="F638" s="18">
        <f>IF(D638="","",D638*IF(E638="",1,E638))</f>
      </c>
      <c r="G638" s="10"/>
    </row>
    <row r="639" spans="1:7" x14ac:dyDescent="0.25">
      <c r="A639" s="7"/>
      <c r="B639" s="10"/>
      <c r="C639" s="10"/>
      <c r="D639" s="13"/>
      <c r="E639" s="17"/>
      <c r="F639" s="18">
        <f>IF(D639="","",D639*IF(E639="",1,E639))</f>
      </c>
      <c r="G639" s="10"/>
    </row>
    <row r="640" spans="1:7" x14ac:dyDescent="0.25">
      <c r="A640" s="7"/>
      <c r="B640" s="10"/>
      <c r="C640" s="10"/>
      <c r="D640" s="13"/>
      <c r="E640" s="17"/>
      <c r="F640" s="18">
        <f>IF(D640="","",D640*IF(E640="",1,E640))</f>
      </c>
      <c r="G640" s="10"/>
    </row>
    <row r="641" spans="1:7" x14ac:dyDescent="0.25">
      <c r="A641" s="7"/>
      <c r="B641" s="10"/>
      <c r="C641" s="10"/>
      <c r="D641" s="13"/>
      <c r="E641" s="17"/>
      <c r="F641" s="18">
        <f>IF(D641="","",D641*IF(E641="",1,E641))</f>
      </c>
      <c r="G641" s="10"/>
    </row>
    <row r="642" spans="1:7" x14ac:dyDescent="0.25">
      <c r="A642" s="7"/>
      <c r="B642" s="10"/>
      <c r="C642" s="10"/>
      <c r="D642" s="13"/>
      <c r="E642" s="17"/>
      <c r="F642" s="18">
        <f>IF(D642="","",D642*IF(E642="",1,E642))</f>
      </c>
      <c r="G642" s="10"/>
    </row>
    <row r="643" spans="1:7" x14ac:dyDescent="0.25">
      <c r="A643" s="7"/>
      <c r="B643" s="10"/>
      <c r="C643" s="10"/>
      <c r="D643" s="13"/>
      <c r="E643" s="17"/>
      <c r="F643" s="18">
        <f>IF(D643="","",D643*IF(E643="",1,E643))</f>
      </c>
      <c r="G643" s="10"/>
    </row>
    <row r="644" spans="1:7" x14ac:dyDescent="0.25">
      <c r="A644" s="7"/>
      <c r="B644" s="10"/>
      <c r="C644" s="10"/>
      <c r="D644" s="13"/>
      <c r="E644" s="17"/>
      <c r="F644" s="18">
        <f>IF(D644="","",D644*IF(E644="",1,E644))</f>
      </c>
      <c r="G644" s="10"/>
    </row>
    <row r="645" spans="1:7" x14ac:dyDescent="0.25">
      <c r="A645" s="7"/>
      <c r="B645" s="10"/>
      <c r="C645" s="10"/>
      <c r="D645" s="13"/>
      <c r="E645" s="17"/>
      <c r="F645" s="18">
        <f>IF(D645="","",D645*IF(E645="",1,E645))</f>
      </c>
      <c r="G645" s="10"/>
    </row>
    <row r="646" spans="1:7" x14ac:dyDescent="0.25">
      <c r="A646" s="7"/>
      <c r="B646" s="10"/>
      <c r="C646" s="10"/>
      <c r="D646" s="13"/>
      <c r="E646" s="17"/>
      <c r="F646" s="18">
        <f>IF(D646="","",D646*IF(E646="",1,E646))</f>
      </c>
      <c r="G646" s="10"/>
    </row>
    <row r="647" spans="1:7" x14ac:dyDescent="0.25">
      <c r="A647" s="7"/>
      <c r="B647" s="10"/>
      <c r="C647" s="10"/>
      <c r="D647" s="13"/>
      <c r="E647" s="17"/>
      <c r="F647" s="18">
        <f>IF(D647="","",D647*IF(E647="",1,E647))</f>
      </c>
      <c r="G647" s="10"/>
    </row>
    <row r="648" spans="1:7" x14ac:dyDescent="0.25">
      <c r="A648" s="7"/>
      <c r="B648" s="10"/>
      <c r="C648" s="10"/>
      <c r="D648" s="13"/>
      <c r="E648" s="17"/>
      <c r="F648" s="18">
        <f>IF(D648="","",D648*IF(E648="",1,E648))</f>
      </c>
      <c r="G648" s="10"/>
    </row>
    <row r="649" spans="1:7" x14ac:dyDescent="0.25">
      <c r="A649" s="7"/>
      <c r="B649" s="10"/>
      <c r="C649" s="10"/>
      <c r="D649" s="13"/>
      <c r="E649" s="17"/>
      <c r="F649" s="18">
        <f>IF(D649="","",D649*IF(E649="",1,E649))</f>
      </c>
      <c r="G649" s="10"/>
    </row>
    <row r="650" spans="1:7" x14ac:dyDescent="0.25">
      <c r="A650" s="7"/>
      <c r="B650" s="10"/>
      <c r="C650" s="10"/>
      <c r="D650" s="13"/>
      <c r="E650" s="17"/>
      <c r="F650" s="18">
        <f>IF(D650="","",D650*IF(E650="",1,E650))</f>
      </c>
      <c r="G650" s="10"/>
    </row>
    <row r="651" spans="1:7" x14ac:dyDescent="0.25">
      <c r="A651" s="7"/>
      <c r="B651" s="10"/>
      <c r="C651" s="10"/>
      <c r="D651" s="13"/>
      <c r="E651" s="17"/>
      <c r="F651" s="18">
        <f>IF(D651="","",D651*IF(E651="",1,E651))</f>
      </c>
      <c r="G651" s="10"/>
    </row>
    <row r="652" spans="1:7" x14ac:dyDescent="0.25">
      <c r="A652" s="7"/>
      <c r="B652" s="10"/>
      <c r="C652" s="10"/>
      <c r="D652" s="13"/>
      <c r="E652" s="17"/>
      <c r="F652" s="18">
        <f>IF(D652="","",D652*IF(E652="",1,E652))</f>
      </c>
      <c r="G652" s="10"/>
    </row>
    <row r="653" spans="1:7" x14ac:dyDescent="0.25">
      <c r="A653" s="7"/>
      <c r="B653" s="10"/>
      <c r="C653" s="10"/>
      <c r="D653" s="13"/>
      <c r="E653" s="17"/>
      <c r="F653" s="18">
        <f>IF(D653="","",D653*IF(E653="",1,E653))</f>
      </c>
      <c r="G653" s="10"/>
    </row>
    <row r="654" spans="1:7" x14ac:dyDescent="0.25">
      <c r="A654" s="7"/>
      <c r="B654" s="10"/>
      <c r="C654" s="10"/>
      <c r="D654" s="13"/>
      <c r="E654" s="17"/>
      <c r="F654" s="18">
        <f>IF(D654="","",D654*IF(E654="",1,E654))</f>
      </c>
      <c r="G654" s="10"/>
    </row>
    <row r="655" spans="1:7" x14ac:dyDescent="0.25">
      <c r="A655" s="7"/>
      <c r="B655" s="10"/>
      <c r="C655" s="10"/>
      <c r="D655" s="13"/>
      <c r="E655" s="17"/>
      <c r="F655" s="18">
        <f>IF(D655="","",D655*IF(E655="",1,E655))</f>
      </c>
      <c r="G655" s="10"/>
    </row>
    <row r="656" spans="1:7" x14ac:dyDescent="0.25">
      <c r="A656" s="7"/>
      <c r="B656" s="10"/>
      <c r="C656" s="10"/>
      <c r="D656" s="13"/>
      <c r="E656" s="17"/>
      <c r="F656" s="18">
        <f>IF(D656="","",D656*IF(E656="",1,E656))</f>
      </c>
      <c r="G656" s="10"/>
    </row>
    <row r="657" spans="1:7" x14ac:dyDescent="0.25">
      <c r="A657" s="7"/>
      <c r="B657" s="10"/>
      <c r="C657" s="10"/>
      <c r="D657" s="13"/>
      <c r="E657" s="17"/>
      <c r="F657" s="18">
        <f>IF(D657="","",D657*IF(E657="",1,E657))</f>
      </c>
      <c r="G657" s="10"/>
    </row>
    <row r="658" spans="1:7" x14ac:dyDescent="0.25">
      <c r="A658" s="7"/>
      <c r="B658" s="10"/>
      <c r="C658" s="10"/>
      <c r="D658" s="13"/>
      <c r="E658" s="17"/>
      <c r="F658" s="18">
        <f>IF(D658="","",D658*IF(E658="",1,E658))</f>
      </c>
      <c r="G658" s="10"/>
    </row>
    <row r="659" spans="1:7" x14ac:dyDescent="0.25">
      <c r="A659" s="7"/>
      <c r="B659" s="10"/>
      <c r="C659" s="10"/>
      <c r="D659" s="13"/>
      <c r="E659" s="17"/>
      <c r="F659" s="18">
        <f>IF(D659="","",D659*IF(E659="",1,E659))</f>
      </c>
      <c r="G659" s="10"/>
    </row>
    <row r="660" spans="1:7" x14ac:dyDescent="0.25">
      <c r="A660" s="7"/>
      <c r="B660" s="10"/>
      <c r="C660" s="10"/>
      <c r="D660" s="13"/>
      <c r="E660" s="17"/>
      <c r="F660" s="18">
        <f>IF(D660="","",D660*IF(E660="",1,E660))</f>
      </c>
      <c r="G660" s="10"/>
    </row>
    <row r="661" spans="1:7" x14ac:dyDescent="0.25">
      <c r="A661" s="7"/>
      <c r="B661" s="10"/>
      <c r="C661" s="10"/>
      <c r="D661" s="13"/>
      <c r="E661" s="17"/>
      <c r="F661" s="18">
        <f>IF(D661="","",D661*IF(E661="",1,E661))</f>
      </c>
      <c r="G661" s="10"/>
    </row>
    <row r="662" spans="1:7" x14ac:dyDescent="0.25">
      <c r="A662" s="7"/>
      <c r="B662" s="10"/>
      <c r="C662" s="10"/>
      <c r="D662" s="13"/>
      <c r="E662" s="17"/>
      <c r="F662" s="18">
        <f>IF(D662="","",D662*IF(E662="",1,E662))</f>
      </c>
      <c r="G662" s="10"/>
    </row>
    <row r="663" spans="1:7" x14ac:dyDescent="0.25">
      <c r="A663" s="7"/>
      <c r="B663" s="10"/>
      <c r="C663" s="10"/>
      <c r="D663" s="13"/>
      <c r="E663" s="17"/>
      <c r="F663" s="18">
        <f>IF(D663="","",D663*IF(E663="",1,E663))</f>
      </c>
      <c r="G663" s="10"/>
    </row>
    <row r="664" spans="1:7" x14ac:dyDescent="0.25">
      <c r="A664" s="7"/>
      <c r="B664" s="10"/>
      <c r="C664" s="10"/>
      <c r="D664" s="13"/>
      <c r="E664" s="17"/>
      <c r="F664" s="18">
        <f>IF(D664="","",D664*IF(E664="",1,E664))</f>
      </c>
      <c r="G664" s="10"/>
    </row>
    <row r="665" spans="1:7" x14ac:dyDescent="0.25">
      <c r="A665" s="7"/>
      <c r="B665" s="10"/>
      <c r="C665" s="10"/>
      <c r="D665" s="13"/>
      <c r="E665" s="17"/>
      <c r="F665" s="18">
        <f>IF(D665="","",D665*IF(E665="",1,E665))</f>
      </c>
      <c r="G665" s="10"/>
    </row>
    <row r="666" spans="1:7" x14ac:dyDescent="0.25">
      <c r="A666" s="7"/>
      <c r="B666" s="10"/>
      <c r="C666" s="10"/>
      <c r="D666" s="13"/>
      <c r="E666" s="17"/>
      <c r="F666" s="18">
        <f>IF(D666="","",D666*IF(E666="",1,E666))</f>
      </c>
      <c r="G666" s="10"/>
    </row>
    <row r="667" spans="1:7" x14ac:dyDescent="0.25">
      <c r="A667" s="7"/>
      <c r="B667" s="10"/>
      <c r="C667" s="10"/>
      <c r="D667" s="13"/>
      <c r="E667" s="17"/>
      <c r="F667" s="18">
        <f>IF(D667="","",D667*IF(E667="",1,E667))</f>
      </c>
      <c r="G667" s="10"/>
    </row>
    <row r="668" spans="1:7" x14ac:dyDescent="0.25">
      <c r="A668" s="7"/>
      <c r="B668" s="10"/>
      <c r="C668" s="10"/>
      <c r="D668" s="13"/>
      <c r="E668" s="17"/>
      <c r="F668" s="18">
        <f>IF(D668="","",D668*IF(E668="",1,E668))</f>
      </c>
      <c r="G668" s="10"/>
    </row>
    <row r="669" spans="1:7" x14ac:dyDescent="0.25">
      <c r="A669" s="7"/>
      <c r="B669" s="10"/>
      <c r="C669" s="10"/>
      <c r="D669" s="13"/>
      <c r="E669" s="17"/>
      <c r="F669" s="18">
        <f>IF(D669="","",D669*IF(E669="",1,E669))</f>
      </c>
      <c r="G669" s="10"/>
    </row>
    <row r="670" spans="1:7" x14ac:dyDescent="0.25">
      <c r="A670" s="7"/>
      <c r="B670" s="10"/>
      <c r="C670" s="10"/>
      <c r="D670" s="13"/>
      <c r="E670" s="17"/>
      <c r="F670" s="18">
        <f>IF(D670="","",D670*IF(E670="",1,E670))</f>
      </c>
      <c r="G670" s="10"/>
    </row>
    <row r="671" spans="1:7" x14ac:dyDescent="0.25">
      <c r="A671" s="7"/>
      <c r="B671" s="10"/>
      <c r="C671" s="10"/>
      <c r="D671" s="13"/>
      <c r="E671" s="17"/>
      <c r="F671" s="18">
        <f>IF(D671="","",D671*IF(E671="",1,E671))</f>
      </c>
      <c r="G671" s="10"/>
    </row>
    <row r="672" spans="1:7" x14ac:dyDescent="0.25">
      <c r="A672" s="7"/>
      <c r="B672" s="10"/>
      <c r="C672" s="10"/>
      <c r="D672" s="13"/>
      <c r="E672" s="17"/>
      <c r="F672" s="18">
        <f>IF(D672="","",D672*IF(E672="",1,E672))</f>
      </c>
      <c r="G672" s="10"/>
    </row>
    <row r="673" spans="1:7" x14ac:dyDescent="0.25">
      <c r="A673" s="7"/>
      <c r="B673" s="10"/>
      <c r="C673" s="10"/>
      <c r="D673" s="13"/>
      <c r="E673" s="17"/>
      <c r="F673" s="18">
        <f>IF(D673="","",D673*IF(E673="",1,E673))</f>
      </c>
      <c r="G673" s="10"/>
    </row>
    <row r="674" spans="1:7" x14ac:dyDescent="0.25">
      <c r="A674" s="7"/>
      <c r="B674" s="10"/>
      <c r="C674" s="10"/>
      <c r="D674" s="13"/>
      <c r="E674" s="17"/>
      <c r="F674" s="18">
        <f>IF(D674="","",D674*IF(E674="",1,E674))</f>
      </c>
      <c r="G674" s="10"/>
    </row>
    <row r="675" spans="1:7" x14ac:dyDescent="0.25">
      <c r="A675" s="7"/>
      <c r="B675" s="10"/>
      <c r="C675" s="10"/>
      <c r="D675" s="13"/>
      <c r="E675" s="17"/>
      <c r="F675" s="18">
        <f>IF(D675="","",D675*IF(E675="",1,E675))</f>
      </c>
      <c r="G675" s="10"/>
    </row>
    <row r="676" spans="1:7" x14ac:dyDescent="0.25">
      <c r="A676" s="7"/>
      <c r="B676" s="10"/>
      <c r="C676" s="10"/>
      <c r="D676" s="13"/>
      <c r="E676" s="17"/>
      <c r="F676" s="18">
        <f>IF(D676="","",D676*IF(E676="",1,E676))</f>
      </c>
      <c r="G676" s="10"/>
    </row>
    <row r="677" spans="1:7" x14ac:dyDescent="0.25">
      <c r="A677" s="7"/>
      <c r="B677" s="10"/>
      <c r="C677" s="10"/>
      <c r="D677" s="13"/>
      <c r="E677" s="17"/>
      <c r="F677" s="18">
        <f>IF(D677="","",D677*IF(E677="",1,E677))</f>
      </c>
      <c r="G677" s="10"/>
    </row>
    <row r="678" spans="1:7" x14ac:dyDescent="0.25">
      <c r="A678" s="7"/>
      <c r="B678" s="10"/>
      <c r="C678" s="10"/>
      <c r="D678" s="13"/>
      <c r="E678" s="17"/>
      <c r="F678" s="18">
        <f>IF(D678="","",D678*IF(E678="",1,E678))</f>
      </c>
      <c r="G678" s="10"/>
    </row>
    <row r="679" spans="1:7" x14ac:dyDescent="0.25">
      <c r="A679" s="7"/>
      <c r="B679" s="10"/>
      <c r="C679" s="10"/>
      <c r="D679" s="13"/>
      <c r="E679" s="17"/>
      <c r="F679" s="18">
        <f>IF(D679="","",D679*IF(E679="",1,E679))</f>
      </c>
      <c r="G679" s="10"/>
    </row>
    <row r="680" spans="1:7" x14ac:dyDescent="0.25">
      <c r="A680" s="7"/>
      <c r="B680" s="10"/>
      <c r="C680" s="10"/>
      <c r="D680" s="13"/>
      <c r="E680" s="17"/>
      <c r="F680" s="18">
        <f>IF(D680="","",D680*IF(E680="",1,E680))</f>
      </c>
      <c r="G680" s="10"/>
    </row>
    <row r="681" spans="1:7" x14ac:dyDescent="0.25">
      <c r="A681" s="7"/>
      <c r="B681" s="10"/>
      <c r="C681" s="10"/>
      <c r="D681" s="13"/>
      <c r="E681" s="17"/>
      <c r="F681" s="18">
        <f>IF(D681="","",D681*IF(E681="",1,E681))</f>
      </c>
      <c r="G681" s="10"/>
    </row>
    <row r="682" spans="1:7" x14ac:dyDescent="0.25">
      <c r="A682" s="7"/>
      <c r="B682" s="10"/>
      <c r="C682" s="10"/>
      <c r="D682" s="13"/>
      <c r="E682" s="17"/>
      <c r="F682" s="18">
        <f>IF(D682="","",D682*IF(E682="",1,E682))</f>
      </c>
      <c r="G682" s="10"/>
    </row>
    <row r="683" spans="1:7" x14ac:dyDescent="0.25">
      <c r="A683" s="7"/>
      <c r="B683" s="10"/>
      <c r="C683" s="10"/>
      <c r="D683" s="13"/>
      <c r="E683" s="17"/>
      <c r="F683" s="18">
        <f>IF(D683="","",D683*IF(E683="",1,E683))</f>
      </c>
      <c r="G683" s="10"/>
    </row>
    <row r="684" spans="1:7" x14ac:dyDescent="0.25">
      <c r="A684" s="7"/>
      <c r="B684" s="10"/>
      <c r="C684" s="10"/>
      <c r="D684" s="13"/>
      <c r="E684" s="17"/>
      <c r="F684" s="18">
        <f>IF(D684="","",D684*IF(E684="",1,E684))</f>
      </c>
      <c r="G684" s="10"/>
    </row>
    <row r="685" spans="1:7" x14ac:dyDescent="0.25">
      <c r="A685" s="7"/>
      <c r="B685" s="10"/>
      <c r="C685" s="10"/>
      <c r="D685" s="13"/>
      <c r="E685" s="17"/>
      <c r="F685" s="18">
        <f>IF(D685="","",D685*IF(E685="",1,E685))</f>
      </c>
      <c r="G685" s="10"/>
    </row>
    <row r="686" spans="1:7" x14ac:dyDescent="0.25">
      <c r="A686" s="7"/>
      <c r="B686" s="10"/>
      <c r="C686" s="10"/>
      <c r="D686" s="13"/>
      <c r="E686" s="17"/>
      <c r="F686" s="18">
        <f>IF(D686="","",D686*IF(E686="",1,E686))</f>
      </c>
      <c r="G686" s="10"/>
    </row>
    <row r="687" spans="1:7" x14ac:dyDescent="0.25">
      <c r="A687" s="7"/>
      <c r="B687" s="10"/>
      <c r="C687" s="10"/>
      <c r="D687" s="13"/>
      <c r="E687" s="17"/>
      <c r="F687" s="18">
        <f>IF(D687="","",D687*IF(E687="",1,E687))</f>
      </c>
      <c r="G687" s="10"/>
    </row>
    <row r="688" spans="1:7" x14ac:dyDescent="0.25">
      <c r="A688" s="7"/>
      <c r="B688" s="10"/>
      <c r="C688" s="10"/>
      <c r="D688" s="13"/>
      <c r="E688" s="17"/>
      <c r="F688" s="18">
        <f>IF(D688="","",D688*IF(E688="",1,E688))</f>
      </c>
      <c r="G688" s="10"/>
    </row>
    <row r="689" spans="1:7" x14ac:dyDescent="0.25">
      <c r="A689" s="7"/>
      <c r="B689" s="10"/>
      <c r="C689" s="10"/>
      <c r="D689" s="13"/>
      <c r="E689" s="17"/>
      <c r="F689" s="18">
        <f>IF(D689="","",D689*IF(E689="",1,E689))</f>
      </c>
      <c r="G689" s="10"/>
    </row>
    <row r="690" spans="1:7" x14ac:dyDescent="0.25">
      <c r="A690" s="7"/>
      <c r="B690" s="10"/>
      <c r="C690" s="10"/>
      <c r="D690" s="13"/>
      <c r="E690" s="17"/>
      <c r="F690" s="18">
        <f>IF(D690="","",D690*IF(E690="",1,E690))</f>
      </c>
      <c r="G690" s="10"/>
    </row>
    <row r="691" spans="1:7" x14ac:dyDescent="0.25">
      <c r="A691" s="7"/>
      <c r="B691" s="10"/>
      <c r="C691" s="10"/>
      <c r="D691" s="13"/>
      <c r="E691" s="17"/>
      <c r="F691" s="18">
        <f>IF(D691="","",D691*IF(E691="",1,E691))</f>
      </c>
      <c r="G691" s="10"/>
    </row>
    <row r="692" spans="1:7" x14ac:dyDescent="0.25">
      <c r="A692" s="7"/>
      <c r="B692" s="10"/>
      <c r="C692" s="10"/>
      <c r="D692" s="13"/>
      <c r="E692" s="17"/>
      <c r="F692" s="18">
        <f>IF(D692="","",D692*IF(E692="",1,E692))</f>
      </c>
      <c r="G692" s="10"/>
    </row>
    <row r="693" spans="1:7" x14ac:dyDescent="0.25">
      <c r="A693" s="7"/>
      <c r="B693" s="10"/>
      <c r="C693" s="10"/>
      <c r="D693" s="13"/>
      <c r="E693" s="17"/>
      <c r="F693" s="18">
        <f>IF(D693="","",D693*IF(E693="",1,E693))</f>
      </c>
      <c r="G693" s="10"/>
    </row>
    <row r="694" spans="1:7" x14ac:dyDescent="0.25">
      <c r="A694" s="7"/>
      <c r="B694" s="10"/>
      <c r="C694" s="10"/>
      <c r="D694" s="13"/>
      <c r="E694" s="17"/>
      <c r="F694" s="18">
        <f>IF(D694="","",D694*IF(E694="",1,E694))</f>
      </c>
      <c r="G694" s="10"/>
    </row>
    <row r="695" spans="1:7" x14ac:dyDescent="0.25">
      <c r="A695" s="7"/>
      <c r="B695" s="10"/>
      <c r="C695" s="10"/>
      <c r="D695" s="13"/>
      <c r="E695" s="17"/>
      <c r="F695" s="18">
        <f>IF(D695="","",D695*IF(E695="",1,E695))</f>
      </c>
      <c r="G695" s="10"/>
    </row>
    <row r="696" spans="1:7" x14ac:dyDescent="0.25">
      <c r="A696" s="7"/>
      <c r="B696" s="10"/>
      <c r="C696" s="10"/>
      <c r="D696" s="13"/>
      <c r="E696" s="17"/>
      <c r="F696" s="18">
        <f>IF(D696="","",D696*IF(E696="",1,E696))</f>
      </c>
      <c r="G696" s="10"/>
    </row>
    <row r="697" spans="1:7" x14ac:dyDescent="0.25">
      <c r="A697" s="7"/>
      <c r="B697" s="10"/>
      <c r="C697" s="10"/>
      <c r="D697" s="13"/>
      <c r="E697" s="17"/>
      <c r="F697" s="18">
        <f>IF(D697="","",D697*IF(E697="",1,E697))</f>
      </c>
      <c r="G697" s="10"/>
    </row>
    <row r="698" spans="1:7" x14ac:dyDescent="0.25">
      <c r="A698" s="7"/>
      <c r="B698" s="10"/>
      <c r="C698" s="10"/>
      <c r="D698" s="13"/>
      <c r="E698" s="17"/>
      <c r="F698" s="18">
        <f>IF(D698="","",D698*IF(E698="",1,E698))</f>
      </c>
      <c r="G698" s="10"/>
    </row>
    <row r="699" spans="1:7" x14ac:dyDescent="0.25">
      <c r="A699" s="7"/>
      <c r="B699" s="10"/>
      <c r="C699" s="10"/>
      <c r="D699" s="13"/>
      <c r="E699" s="17"/>
      <c r="F699" s="18">
        <f>IF(D699="","",D699*IF(E699="",1,E699))</f>
      </c>
      <c r="G699" s="10"/>
    </row>
    <row r="700" spans="1:7" x14ac:dyDescent="0.25">
      <c r="A700" s="7"/>
      <c r="B700" s="10"/>
      <c r="C700" s="10"/>
      <c r="D700" s="13"/>
      <c r="E700" s="17"/>
      <c r="F700" s="18">
        <f>IF(D700="","",D700*IF(E700="",1,E700))</f>
      </c>
      <c r="G700" s="10"/>
    </row>
    <row r="701" spans="1:7" x14ac:dyDescent="0.25">
      <c r="A701" s="7"/>
      <c r="B701" s="10"/>
      <c r="C701" s="10"/>
      <c r="D701" s="13"/>
      <c r="E701" s="17"/>
      <c r="F701" s="18">
        <f>IF(D701="","",D701*IF(E701="",1,E701))</f>
      </c>
      <c r="G701" s="10"/>
    </row>
    <row r="702" spans="1:7" x14ac:dyDescent="0.25">
      <c r="A702" s="7"/>
      <c r="B702" s="10"/>
      <c r="C702" s="10"/>
      <c r="D702" s="13"/>
      <c r="E702" s="17"/>
      <c r="F702" s="18">
        <f>IF(D702="","",D702*IF(E702="",1,E702))</f>
      </c>
      <c r="G702" s="10"/>
    </row>
    <row r="703" spans="1:7" x14ac:dyDescent="0.25">
      <c r="A703" s="7"/>
      <c r="B703" s="10"/>
      <c r="C703" s="10"/>
      <c r="D703" s="13"/>
      <c r="E703" s="17"/>
      <c r="F703" s="18">
        <f>IF(D703="","",D703*IF(E703="",1,E703))</f>
      </c>
      <c r="G703" s="10"/>
    </row>
    <row r="704" spans="1:7" x14ac:dyDescent="0.25">
      <c r="A704" s="7"/>
      <c r="B704" s="10"/>
      <c r="C704" s="10"/>
      <c r="D704" s="13"/>
      <c r="E704" s="17"/>
      <c r="F704" s="18">
        <f>IF(D704="","",D704*IF(E704="",1,E704))</f>
      </c>
      <c r="G704" s="10"/>
    </row>
    <row r="705" spans="1:7" x14ac:dyDescent="0.25">
      <c r="A705" s="7"/>
      <c r="B705" s="10"/>
      <c r="C705" s="10"/>
      <c r="D705" s="13"/>
      <c r="E705" s="17"/>
      <c r="F705" s="18">
        <f>IF(D705="","",D705*IF(E705="",1,E705))</f>
      </c>
      <c r="G705" s="10"/>
    </row>
    <row r="706" spans="1:7" x14ac:dyDescent="0.25">
      <c r="A706" s="7"/>
      <c r="B706" s="10"/>
      <c r="C706" s="10"/>
      <c r="D706" s="13"/>
      <c r="E706" s="17"/>
      <c r="F706" s="18">
        <f>IF(D706="","",D706*IF(E706="",1,E706))</f>
      </c>
      <c r="G706" s="10"/>
    </row>
    <row r="707" spans="1:7" x14ac:dyDescent="0.25">
      <c r="A707" s="7"/>
      <c r="B707" s="10"/>
      <c r="C707" s="10"/>
      <c r="D707" s="13"/>
      <c r="E707" s="17"/>
      <c r="F707" s="18">
        <f>IF(D707="","",D707*IF(E707="",1,E707))</f>
      </c>
      <c r="G707" s="10"/>
    </row>
    <row r="708" spans="1:7" x14ac:dyDescent="0.25">
      <c r="A708" s="7"/>
      <c r="B708" s="10"/>
      <c r="C708" s="10"/>
      <c r="D708" s="13"/>
      <c r="E708" s="17"/>
      <c r="F708" s="18">
        <f>IF(D708="","",D708*IF(E708="",1,E708))</f>
      </c>
      <c r="G708" s="10"/>
    </row>
    <row r="709" spans="1:7" x14ac:dyDescent="0.25">
      <c r="A709" s="7"/>
      <c r="B709" s="10"/>
      <c r="C709" s="10"/>
      <c r="D709" s="13"/>
      <c r="E709" s="17"/>
      <c r="F709" s="18">
        <f>IF(D709="","",D709*IF(E709="",1,E709))</f>
      </c>
      <c r="G709" s="10"/>
    </row>
    <row r="710" spans="1:7" x14ac:dyDescent="0.25">
      <c r="A710" s="7"/>
      <c r="B710" s="10"/>
      <c r="C710" s="10"/>
      <c r="D710" s="13"/>
      <c r="E710" s="17"/>
      <c r="F710" s="18">
        <f>IF(D710="","",D710*IF(E710="",1,E710))</f>
      </c>
      <c r="G710" s="10"/>
    </row>
    <row r="711" spans="1:7" x14ac:dyDescent="0.25">
      <c r="A711" s="7"/>
      <c r="B711" s="10"/>
      <c r="C711" s="10"/>
      <c r="D711" s="13"/>
      <c r="E711" s="17"/>
      <c r="F711" s="18">
        <f>IF(D711="","",D711*IF(E711="",1,E711))</f>
      </c>
      <c r="G711" s="10"/>
    </row>
    <row r="712" spans="1:7" x14ac:dyDescent="0.25">
      <c r="A712" s="7"/>
      <c r="B712" s="10"/>
      <c r="C712" s="10"/>
      <c r="D712" s="13"/>
      <c r="E712" s="17"/>
      <c r="F712" s="18">
        <f>IF(D712="","",D712*IF(E712="",1,E712))</f>
      </c>
      <c r="G712" s="10"/>
    </row>
    <row r="713" spans="1:7" x14ac:dyDescent="0.25">
      <c r="A713" s="7"/>
      <c r="B713" s="10"/>
      <c r="C713" s="10"/>
      <c r="D713" s="13"/>
      <c r="E713" s="17"/>
      <c r="F713" s="18">
        <f>IF(D713="","",D713*IF(E713="",1,E713))</f>
      </c>
      <c r="G713" s="10"/>
    </row>
    <row r="714" spans="1:7" x14ac:dyDescent="0.25">
      <c r="A714" s="7"/>
      <c r="B714" s="10"/>
      <c r="C714" s="10"/>
      <c r="D714" s="13"/>
      <c r="E714" s="17"/>
      <c r="F714" s="18">
        <f>IF(D714="","",D714*IF(E714="",1,E714))</f>
      </c>
      <c r="G714" s="10"/>
    </row>
    <row r="715" spans="1:7" x14ac:dyDescent="0.25">
      <c r="A715" s="7"/>
      <c r="B715" s="10"/>
      <c r="C715" s="10"/>
      <c r="D715" s="13"/>
      <c r="E715" s="17"/>
      <c r="F715" s="18">
        <f>IF(D715="","",D715*IF(E715="",1,E715))</f>
      </c>
      <c r="G715" s="10"/>
    </row>
    <row r="716" spans="1:7" x14ac:dyDescent="0.25">
      <c r="A716" s="7"/>
      <c r="B716" s="10"/>
      <c r="C716" s="10"/>
      <c r="D716" s="13"/>
      <c r="E716" s="17"/>
      <c r="F716" s="18">
        <f>IF(D716="","",D716*IF(E716="",1,E716))</f>
      </c>
      <c r="G716" s="10"/>
    </row>
    <row r="717" spans="1:7" x14ac:dyDescent="0.25">
      <c r="A717" s="7"/>
      <c r="B717" s="10"/>
      <c r="C717" s="10"/>
      <c r="D717" s="13"/>
      <c r="E717" s="17"/>
      <c r="F717" s="18">
        <f>IF(D717="","",D717*IF(E717="",1,E717))</f>
      </c>
      <c r="G717" s="10"/>
    </row>
    <row r="718" spans="1:7" x14ac:dyDescent="0.25">
      <c r="A718" s="7"/>
      <c r="B718" s="10"/>
      <c r="C718" s="10"/>
      <c r="D718" s="13"/>
      <c r="E718" s="17"/>
      <c r="F718" s="18">
        <f>IF(D718="","",D718*IF(E718="",1,E718))</f>
      </c>
      <c r="G718" s="10"/>
    </row>
    <row r="719" spans="1:7" x14ac:dyDescent="0.25">
      <c r="A719" s="7"/>
      <c r="B719" s="10"/>
      <c r="C719" s="10"/>
      <c r="D719" s="13"/>
      <c r="E719" s="17"/>
      <c r="F719" s="18">
        <f>IF(D719="","",D719*IF(E719="",1,E719))</f>
      </c>
      <c r="G719" s="10"/>
    </row>
    <row r="720" spans="1:7" x14ac:dyDescent="0.25">
      <c r="A720" s="7"/>
      <c r="B720" s="10"/>
      <c r="C720" s="10"/>
      <c r="D720" s="13"/>
      <c r="E720" s="17"/>
      <c r="F720" s="18">
        <f>IF(D720="","",D720*IF(E720="",1,E720))</f>
      </c>
      <c r="G720" s="10"/>
    </row>
    <row r="721" spans="1:7" x14ac:dyDescent="0.25">
      <c r="A721" s="7"/>
      <c r="B721" s="10"/>
      <c r="C721" s="10"/>
      <c r="D721" s="13"/>
      <c r="E721" s="17"/>
      <c r="F721" s="18">
        <f>IF(D721="","",D721*IF(E721="",1,E721))</f>
      </c>
      <c r="G721" s="10"/>
    </row>
    <row r="722" spans="1:7" x14ac:dyDescent="0.25">
      <c r="A722" s="7"/>
      <c r="B722" s="10"/>
      <c r="C722" s="10"/>
      <c r="D722" s="13"/>
      <c r="E722" s="17"/>
      <c r="F722" s="18">
        <f>IF(D722="","",D722*IF(E722="",1,E722))</f>
      </c>
      <c r="G722" s="10"/>
    </row>
    <row r="723" spans="1:7" x14ac:dyDescent="0.25">
      <c r="A723" s="7"/>
      <c r="B723" s="10"/>
      <c r="C723" s="10"/>
      <c r="D723" s="13"/>
      <c r="E723" s="17"/>
      <c r="F723" s="18">
        <f>IF(D723="","",D723*IF(E723="",1,E723))</f>
      </c>
      <c r="G723" s="10"/>
    </row>
    <row r="724" spans="1:7" x14ac:dyDescent="0.25">
      <c r="A724" s="7"/>
      <c r="B724" s="10"/>
      <c r="C724" s="10"/>
      <c r="D724" s="13"/>
      <c r="E724" s="17"/>
      <c r="F724" s="18">
        <f>IF(D724="","",D724*IF(E724="",1,E724))</f>
      </c>
      <c r="G724" s="10"/>
    </row>
    <row r="725" spans="1:7" x14ac:dyDescent="0.25">
      <c r="A725" s="7"/>
      <c r="B725" s="10"/>
      <c r="C725" s="10"/>
      <c r="D725" s="13"/>
      <c r="E725" s="17"/>
      <c r="F725" s="18">
        <f>IF(D725="","",D725*IF(E725="",1,E725))</f>
      </c>
      <c r="G725" s="10"/>
    </row>
    <row r="726" spans="1:7" x14ac:dyDescent="0.25">
      <c r="A726" s="7"/>
      <c r="B726" s="10"/>
      <c r="C726" s="10"/>
      <c r="D726" s="13"/>
      <c r="E726" s="17"/>
      <c r="F726" s="18">
        <f>IF(D726="","",D726*IF(E726="",1,E726))</f>
      </c>
      <c r="G726" s="10"/>
    </row>
    <row r="727" spans="1:7" x14ac:dyDescent="0.25">
      <c r="A727" s="7"/>
      <c r="B727" s="10"/>
      <c r="C727" s="10"/>
      <c r="D727" s="13"/>
      <c r="E727" s="17"/>
      <c r="F727" s="18">
        <f>IF(D727="","",D727*IF(E727="",1,E727))</f>
      </c>
      <c r="G727" s="10"/>
    </row>
    <row r="728" spans="1:7" x14ac:dyDescent="0.25">
      <c r="A728" s="7"/>
      <c r="B728" s="10"/>
      <c r="C728" s="10"/>
      <c r="D728" s="13"/>
      <c r="E728" s="17"/>
      <c r="F728" s="18">
        <f>IF(D728="","",D728*IF(E728="",1,E728))</f>
      </c>
      <c r="G728" s="10"/>
    </row>
    <row r="729" spans="1:7" x14ac:dyDescent="0.25">
      <c r="A729" s="7"/>
      <c r="B729" s="10"/>
      <c r="C729" s="10"/>
      <c r="D729" s="13"/>
      <c r="E729" s="17"/>
      <c r="F729" s="18">
        <f>IF(D729="","",D729*IF(E729="",1,E729))</f>
      </c>
      <c r="G729" s="10"/>
    </row>
    <row r="730" spans="1:7" x14ac:dyDescent="0.25">
      <c r="A730" s="7"/>
      <c r="B730" s="10"/>
      <c r="C730" s="10"/>
      <c r="D730" s="13"/>
      <c r="E730" s="17"/>
      <c r="F730" s="18">
        <f>IF(D730="","",D730*IF(E730="",1,E730))</f>
      </c>
      <c r="G730" s="10"/>
    </row>
    <row r="731" spans="1:7" x14ac:dyDescent="0.25">
      <c r="A731" s="7"/>
      <c r="B731" s="10"/>
      <c r="C731" s="10"/>
      <c r="D731" s="13"/>
      <c r="E731" s="17"/>
      <c r="F731" s="18">
        <f>IF(D731="","",D731*IF(E731="",1,E731))</f>
      </c>
      <c r="G731" s="10"/>
    </row>
    <row r="732" spans="1:7" x14ac:dyDescent="0.25">
      <c r="A732" s="7"/>
      <c r="B732" s="10"/>
      <c r="C732" s="10"/>
      <c r="D732" s="13"/>
      <c r="E732" s="17"/>
      <c r="F732" s="18">
        <f>IF(D732="","",D732*IF(E732="",1,E732))</f>
      </c>
      <c r="G732" s="10"/>
    </row>
    <row r="733" spans="1:7" x14ac:dyDescent="0.25">
      <c r="A733" s="7"/>
      <c r="B733" s="10"/>
      <c r="C733" s="10"/>
      <c r="D733" s="13"/>
      <c r="E733" s="17"/>
      <c r="F733" s="18">
        <f>IF(D733="","",D733*IF(E733="",1,E733))</f>
      </c>
      <c r="G733" s="10"/>
    </row>
    <row r="734" spans="1:7" x14ac:dyDescent="0.25">
      <c r="A734" s="7"/>
      <c r="B734" s="10"/>
      <c r="C734" s="10"/>
      <c r="D734" s="13"/>
      <c r="E734" s="17"/>
      <c r="F734" s="18">
        <f>IF(D734="","",D734*IF(E734="",1,E734))</f>
      </c>
      <c r="G734" s="10"/>
    </row>
    <row r="735" spans="1:7" x14ac:dyDescent="0.25">
      <c r="A735" s="7"/>
      <c r="B735" s="10"/>
      <c r="C735" s="10"/>
      <c r="D735" s="13"/>
      <c r="E735" s="17"/>
      <c r="F735" s="18">
        <f>IF(D735="","",D735*IF(E735="",1,E735))</f>
      </c>
      <c r="G735" s="10"/>
    </row>
    <row r="736" spans="1:7" x14ac:dyDescent="0.25">
      <c r="A736" s="7"/>
      <c r="B736" s="10"/>
      <c r="C736" s="10"/>
      <c r="D736" s="13"/>
      <c r="E736" s="17"/>
      <c r="F736" s="18">
        <f>IF(D736="","",D736*IF(E736="",1,E736))</f>
      </c>
      <c r="G736" s="10"/>
    </row>
    <row r="737" spans="1:7" x14ac:dyDescent="0.25">
      <c r="A737" s="7"/>
      <c r="B737" s="10"/>
      <c r="C737" s="10"/>
      <c r="D737" s="13"/>
      <c r="E737" s="17"/>
      <c r="F737" s="18">
        <f>IF(D737="","",D737*IF(E737="",1,E737))</f>
      </c>
      <c r="G737" s="10"/>
    </row>
    <row r="738" spans="1:7" x14ac:dyDescent="0.25">
      <c r="A738" s="7"/>
      <c r="B738" s="10"/>
      <c r="C738" s="10"/>
      <c r="D738" s="13"/>
      <c r="E738" s="17"/>
      <c r="F738" s="18">
        <f>IF(D738="","",D738*IF(E738="",1,E738))</f>
      </c>
      <c r="G738" s="10"/>
    </row>
    <row r="739" spans="1:7" x14ac:dyDescent="0.25">
      <c r="A739" s="7"/>
      <c r="B739" s="10"/>
      <c r="C739" s="10"/>
      <c r="D739" s="13"/>
      <c r="E739" s="17"/>
      <c r="F739" s="18">
        <f>IF(D739="","",D739*IF(E739="",1,E739))</f>
      </c>
      <c r="G739" s="10"/>
    </row>
    <row r="740" spans="1:7" x14ac:dyDescent="0.25">
      <c r="A740" s="7"/>
      <c r="B740" s="10"/>
      <c r="C740" s="10"/>
      <c r="D740" s="13"/>
      <c r="E740" s="17"/>
      <c r="F740" s="18">
        <f>IF(D740="","",D740*IF(E740="",1,E740))</f>
      </c>
      <c r="G740" s="10"/>
    </row>
    <row r="741" spans="1:7" x14ac:dyDescent="0.25">
      <c r="A741" s="7"/>
      <c r="B741" s="10"/>
      <c r="C741" s="10"/>
      <c r="D741" s="13"/>
      <c r="E741" s="17"/>
      <c r="F741" s="18">
        <f>IF(D741="","",D741*IF(E741="",1,E741))</f>
      </c>
      <c r="G741" s="10"/>
    </row>
    <row r="742" spans="1:7" x14ac:dyDescent="0.25">
      <c r="A742" s="7"/>
      <c r="B742" s="10"/>
      <c r="C742" s="10"/>
      <c r="D742" s="13"/>
      <c r="E742" s="17"/>
      <c r="F742" s="18">
        <f>IF(D742="","",D742*IF(E742="",1,E742))</f>
      </c>
      <c r="G742" s="10"/>
    </row>
    <row r="743" spans="1:7" x14ac:dyDescent="0.25">
      <c r="A743" s="7"/>
      <c r="B743" s="10"/>
      <c r="C743" s="10"/>
      <c r="D743" s="13"/>
      <c r="E743" s="17"/>
      <c r="F743" s="18">
        <f>IF(D743="","",D743*IF(E743="",1,E743))</f>
      </c>
      <c r="G743" s="10"/>
    </row>
    <row r="744" spans="1:7" x14ac:dyDescent="0.25">
      <c r="A744" s="7"/>
      <c r="B744" s="10"/>
      <c r="C744" s="10"/>
      <c r="D744" s="13"/>
      <c r="E744" s="17"/>
      <c r="F744" s="18">
        <f>IF(D744="","",D744*IF(E744="",1,E744))</f>
      </c>
      <c r="G744" s="10"/>
    </row>
    <row r="745" spans="1:7" x14ac:dyDescent="0.25">
      <c r="A745" s="7"/>
      <c r="B745" s="10"/>
      <c r="C745" s="10"/>
      <c r="D745" s="13"/>
      <c r="E745" s="17"/>
      <c r="F745" s="18">
        <f>IF(D745="","",D745*IF(E745="",1,E745))</f>
      </c>
      <c r="G745" s="10"/>
    </row>
    <row r="746" spans="1:7" x14ac:dyDescent="0.25">
      <c r="A746" s="7"/>
      <c r="B746" s="10"/>
      <c r="C746" s="10"/>
      <c r="D746" s="13"/>
      <c r="E746" s="17"/>
      <c r="F746" s="18">
        <f>IF(D746="","",D746*IF(E746="",1,E746))</f>
      </c>
      <c r="G746" s="10"/>
    </row>
    <row r="747" spans="1:7" x14ac:dyDescent="0.25">
      <c r="A747" s="7"/>
      <c r="B747" s="10"/>
      <c r="C747" s="10"/>
      <c r="D747" s="13"/>
      <c r="E747" s="17"/>
      <c r="F747" s="18">
        <f>IF(D747="","",D747*IF(E747="",1,E747))</f>
      </c>
      <c r="G747" s="10"/>
    </row>
    <row r="748" spans="1:7" x14ac:dyDescent="0.25">
      <c r="A748" s="7"/>
      <c r="B748" s="10"/>
      <c r="C748" s="10"/>
      <c r="D748" s="13"/>
      <c r="E748" s="17"/>
      <c r="F748" s="18">
        <f>IF(D748="","",D748*IF(E748="",1,E748))</f>
      </c>
      <c r="G748" s="10"/>
    </row>
    <row r="749" spans="1:7" x14ac:dyDescent="0.25">
      <c r="A749" s="7"/>
      <c r="B749" s="10"/>
      <c r="C749" s="10"/>
      <c r="D749" s="13"/>
      <c r="E749" s="17"/>
      <c r="F749" s="18">
        <f>IF(D749="","",D749*IF(E749="",1,E749))</f>
      </c>
      <c r="G749" s="10"/>
    </row>
    <row r="750" spans="1:7" x14ac:dyDescent="0.25">
      <c r="A750" s="7"/>
      <c r="B750" s="10"/>
      <c r="C750" s="10"/>
      <c r="D750" s="13"/>
      <c r="E750" s="17"/>
      <c r="F750" s="18">
        <f>IF(D750="","",D750*IF(E750="",1,E750))</f>
      </c>
      <c r="G750" s="10"/>
    </row>
    <row r="751" spans="1:7" x14ac:dyDescent="0.25">
      <c r="A751" s="7"/>
      <c r="B751" s="10"/>
      <c r="C751" s="10"/>
      <c r="D751" s="13"/>
      <c r="E751" s="17"/>
      <c r="F751" s="18">
        <f>IF(D751="","",D751*IF(E751="",1,E751))</f>
      </c>
      <c r="G751" s="10"/>
    </row>
    <row r="752" spans="1:7" x14ac:dyDescent="0.25">
      <c r="A752" s="7"/>
      <c r="B752" s="10"/>
      <c r="C752" s="10"/>
      <c r="D752" s="13"/>
      <c r="E752" s="17"/>
      <c r="F752" s="18">
        <f>IF(D752="","",D752*IF(E752="",1,E752))</f>
      </c>
      <c r="G752" s="10"/>
    </row>
    <row r="753" spans="1:7" x14ac:dyDescent="0.25">
      <c r="A753" s="7"/>
      <c r="B753" s="10"/>
      <c r="C753" s="10"/>
      <c r="D753" s="13"/>
      <c r="E753" s="17"/>
      <c r="F753" s="18">
        <f>IF(D753="","",D753*IF(E753="",1,E753))</f>
      </c>
      <c r="G753" s="10"/>
    </row>
    <row r="754" spans="1:7" x14ac:dyDescent="0.25">
      <c r="A754" s="7"/>
      <c r="B754" s="10"/>
      <c r="C754" s="10"/>
      <c r="D754" s="13"/>
      <c r="E754" s="17"/>
      <c r="F754" s="18">
        <f>IF(D754="","",D754*IF(E754="",1,E754))</f>
      </c>
      <c r="G754" s="10"/>
    </row>
    <row r="755" spans="1:7" x14ac:dyDescent="0.25">
      <c r="A755" s="7"/>
      <c r="B755" s="10"/>
      <c r="C755" s="10"/>
      <c r="D755" s="13"/>
      <c r="E755" s="17"/>
      <c r="F755" s="18">
        <f>IF(D755="","",D755*IF(E755="",1,E755))</f>
      </c>
      <c r="G755" s="10"/>
    </row>
    <row r="756" spans="1:7" x14ac:dyDescent="0.25">
      <c r="A756" s="7"/>
      <c r="B756" s="10"/>
      <c r="C756" s="10"/>
      <c r="D756" s="13"/>
      <c r="E756" s="17"/>
      <c r="F756" s="18">
        <f>IF(D756="","",D756*IF(E756="",1,E756))</f>
      </c>
      <c r="G756" s="10"/>
    </row>
    <row r="757" spans="1:7" x14ac:dyDescent="0.25">
      <c r="A757" s="7"/>
      <c r="B757" s="10"/>
      <c r="C757" s="10"/>
      <c r="D757" s="13"/>
      <c r="E757" s="17"/>
      <c r="F757" s="18">
        <f>IF(D757="","",D757*IF(E757="",1,E757))</f>
      </c>
      <c r="G757" s="10"/>
    </row>
    <row r="758" spans="1:7" x14ac:dyDescent="0.25">
      <c r="A758" s="7"/>
      <c r="B758" s="10"/>
      <c r="C758" s="10"/>
      <c r="D758" s="13"/>
      <c r="E758" s="17"/>
      <c r="F758" s="18">
        <f>IF(D758="","",D758*IF(E758="",1,E758))</f>
      </c>
      <c r="G758" s="10"/>
    </row>
    <row r="759" spans="1:7" x14ac:dyDescent="0.25">
      <c r="A759" s="7"/>
      <c r="B759" s="10"/>
      <c r="C759" s="10"/>
      <c r="D759" s="13"/>
      <c r="E759" s="17"/>
      <c r="F759" s="18">
        <f>IF(D759="","",D759*IF(E759="",1,E759))</f>
      </c>
      <c r="G759" s="10"/>
    </row>
    <row r="760" spans="1:7" x14ac:dyDescent="0.25">
      <c r="A760" s="7"/>
      <c r="B760" s="10"/>
      <c r="C760" s="10"/>
      <c r="D760" s="13"/>
      <c r="E760" s="17"/>
      <c r="F760" s="18">
        <f>IF(D760="","",D760*IF(E760="",1,E760))</f>
      </c>
      <c r="G760" s="10"/>
    </row>
    <row r="761" spans="1:7" x14ac:dyDescent="0.25">
      <c r="A761" s="7"/>
      <c r="B761" s="10"/>
      <c r="C761" s="10"/>
      <c r="D761" s="13"/>
      <c r="E761" s="17"/>
      <c r="F761" s="18">
        <f>IF(D761="","",D761*IF(E761="",1,E761))</f>
      </c>
      <c r="G761" s="10"/>
    </row>
    <row r="762" spans="1:7" x14ac:dyDescent="0.25">
      <c r="A762" s="7"/>
      <c r="B762" s="10"/>
      <c r="C762" s="10"/>
      <c r="D762" s="13"/>
      <c r="E762" s="17"/>
      <c r="F762" s="18">
        <f>IF(D762="","",D762*IF(E762="",1,E762))</f>
      </c>
      <c r="G762" s="10"/>
    </row>
    <row r="763" spans="1:7" x14ac:dyDescent="0.25">
      <c r="A763" s="7"/>
      <c r="B763" s="10"/>
      <c r="C763" s="10"/>
      <c r="D763" s="13"/>
      <c r="E763" s="17"/>
      <c r="F763" s="18">
        <f>IF(D763="","",D763*IF(E763="",1,E763))</f>
      </c>
      <c r="G763" s="10"/>
    </row>
    <row r="764" spans="1:7" x14ac:dyDescent="0.25">
      <c r="A764" s="7"/>
      <c r="B764" s="10"/>
      <c r="C764" s="10"/>
      <c r="D764" s="13"/>
      <c r="E764" s="17"/>
      <c r="F764" s="18">
        <f>IF(D764="","",D764*IF(E764="",1,E764))</f>
      </c>
      <c r="G764" s="10"/>
    </row>
    <row r="765" spans="1:7" x14ac:dyDescent="0.25">
      <c r="A765" s="7"/>
      <c r="B765" s="10"/>
      <c r="C765" s="10"/>
      <c r="D765" s="13"/>
      <c r="E765" s="17"/>
      <c r="F765" s="18">
        <f>IF(D765="","",D765*IF(E765="",1,E765))</f>
      </c>
      <c r="G765" s="10"/>
    </row>
    <row r="766" spans="1:7" x14ac:dyDescent="0.25">
      <c r="A766" s="7"/>
      <c r="B766" s="10"/>
      <c r="C766" s="10"/>
      <c r="D766" s="13"/>
      <c r="E766" s="17"/>
      <c r="F766" s="18">
        <f>IF(D766="","",D766*IF(E766="",1,E766))</f>
      </c>
      <c r="G766" s="10"/>
    </row>
    <row r="767" spans="1:7" x14ac:dyDescent="0.25">
      <c r="A767" s="7"/>
      <c r="B767" s="10"/>
      <c r="C767" s="10"/>
      <c r="D767" s="13"/>
      <c r="E767" s="17"/>
      <c r="F767" s="18">
        <f>IF(D767="","",D767*IF(E767="",1,E767))</f>
      </c>
      <c r="G767" s="10"/>
    </row>
    <row r="768" spans="1:7" x14ac:dyDescent="0.25">
      <c r="A768" s="7"/>
      <c r="B768" s="10"/>
      <c r="C768" s="10"/>
      <c r="D768" s="13"/>
      <c r="E768" s="17"/>
      <c r="F768" s="18">
        <f>IF(D768="","",D768*IF(E768="",1,E768))</f>
      </c>
      <c r="G768" s="10"/>
    </row>
    <row r="769" spans="1:7" x14ac:dyDescent="0.25">
      <c r="A769" s="7"/>
      <c r="B769" s="10"/>
      <c r="C769" s="10"/>
      <c r="D769" s="13"/>
      <c r="E769" s="17"/>
      <c r="F769" s="18">
        <f>IF(D769="","",D769*IF(E769="",1,E769))</f>
      </c>
      <c r="G769" s="10"/>
    </row>
    <row r="770" spans="1:7" x14ac:dyDescent="0.25">
      <c r="A770" s="7"/>
      <c r="B770" s="10"/>
      <c r="C770" s="10"/>
      <c r="D770" s="13"/>
      <c r="E770" s="17"/>
      <c r="F770" s="18">
        <f>IF(D770="","",D770*IF(E770="",1,E770))</f>
      </c>
      <c r="G770" s="10"/>
    </row>
    <row r="771" spans="1:7" x14ac:dyDescent="0.25">
      <c r="A771" s="7"/>
      <c r="B771" s="10"/>
      <c r="C771" s="10"/>
      <c r="D771" s="13"/>
      <c r="E771" s="17"/>
      <c r="F771" s="18">
        <f>IF(D771="","",D771*IF(E771="",1,E771))</f>
      </c>
      <c r="G771" s="10"/>
    </row>
    <row r="772" spans="1:7" x14ac:dyDescent="0.25">
      <c r="A772" s="7"/>
      <c r="B772" s="10"/>
      <c r="C772" s="10"/>
      <c r="D772" s="13"/>
      <c r="E772" s="17"/>
      <c r="F772" s="18">
        <f>IF(D772="","",D772*IF(E772="",1,E772))</f>
      </c>
      <c r="G772" s="10"/>
    </row>
    <row r="773" spans="1:7" x14ac:dyDescent="0.25">
      <c r="A773" s="7"/>
      <c r="B773" s="10"/>
      <c r="C773" s="10"/>
      <c r="D773" s="13"/>
      <c r="E773" s="17"/>
      <c r="F773" s="18">
        <f>IF(D773="","",D773*IF(E773="",1,E773))</f>
      </c>
      <c r="G773" s="10"/>
    </row>
    <row r="774" spans="1:7" x14ac:dyDescent="0.25">
      <c r="A774" s="7"/>
      <c r="B774" s="10"/>
      <c r="C774" s="10"/>
      <c r="D774" s="13"/>
      <c r="E774" s="17"/>
      <c r="F774" s="18">
        <f>IF(D774="","",D774*IF(E774="",1,E774))</f>
      </c>
      <c r="G774" s="10"/>
    </row>
    <row r="775" spans="1:7" x14ac:dyDescent="0.25">
      <c r="A775" s="7"/>
      <c r="B775" s="10"/>
      <c r="C775" s="10"/>
      <c r="D775" s="13"/>
      <c r="E775" s="17"/>
      <c r="F775" s="18">
        <f>IF(D775="","",D775*IF(E775="",1,E775))</f>
      </c>
      <c r="G775" s="10"/>
    </row>
    <row r="776" spans="1:7" x14ac:dyDescent="0.25">
      <c r="A776" s="7"/>
      <c r="B776" s="10"/>
      <c r="C776" s="10"/>
      <c r="D776" s="13"/>
      <c r="E776" s="17"/>
      <c r="F776" s="18">
        <f>IF(D776="","",D776*IF(E776="",1,E776))</f>
      </c>
      <c r="G776" s="10"/>
    </row>
    <row r="777" spans="1:7" x14ac:dyDescent="0.25">
      <c r="A777" s="7"/>
      <c r="B777" s="10"/>
      <c r="C777" s="10"/>
      <c r="D777" s="13"/>
      <c r="E777" s="17"/>
      <c r="F777" s="18">
        <f>IF(D777="","",D777*IF(E777="",1,E777))</f>
      </c>
      <c r="G777" s="10"/>
    </row>
    <row r="778" spans="1:7" x14ac:dyDescent="0.25">
      <c r="A778" s="7"/>
      <c r="B778" s="10"/>
      <c r="C778" s="10"/>
      <c r="D778" s="13"/>
      <c r="E778" s="17"/>
      <c r="F778" s="18">
        <f>IF(D778="","",D778*IF(E778="",1,E778))</f>
      </c>
      <c r="G778" s="10"/>
    </row>
    <row r="779" spans="1:7" x14ac:dyDescent="0.25">
      <c r="A779" s="7"/>
      <c r="B779" s="10"/>
      <c r="C779" s="10"/>
      <c r="D779" s="13"/>
      <c r="E779" s="17"/>
      <c r="F779" s="18">
        <f>IF(D779="","",D779*IF(E779="",1,E779))</f>
      </c>
      <c r="G779" s="10"/>
    </row>
    <row r="780" spans="1:7" x14ac:dyDescent="0.25">
      <c r="A780" s="7"/>
      <c r="B780" s="10"/>
      <c r="C780" s="10"/>
      <c r="D780" s="13"/>
      <c r="E780" s="17"/>
      <c r="F780" s="18">
        <f>IF(D780="","",D780*IF(E780="",1,E780))</f>
      </c>
      <c r="G780" s="10"/>
    </row>
    <row r="781" spans="1:7" x14ac:dyDescent="0.25">
      <c r="A781" s="7"/>
      <c r="B781" s="10"/>
      <c r="C781" s="10"/>
      <c r="D781" s="13"/>
      <c r="E781" s="17"/>
      <c r="F781" s="18">
        <f>IF(D781="","",D781*IF(E781="",1,E781))</f>
      </c>
      <c r="G781" s="10"/>
    </row>
    <row r="782" spans="1:7" x14ac:dyDescent="0.25">
      <c r="A782" s="7"/>
      <c r="B782" s="10"/>
      <c r="C782" s="10"/>
      <c r="D782" s="13"/>
      <c r="E782" s="17"/>
      <c r="F782" s="18">
        <f>IF(D782="","",D782*IF(E782="",1,E782))</f>
      </c>
      <c r="G782" s="10"/>
    </row>
    <row r="783" spans="1:7" x14ac:dyDescent="0.25">
      <c r="A783" s="7"/>
      <c r="B783" s="10"/>
      <c r="C783" s="10"/>
      <c r="D783" s="13"/>
      <c r="E783" s="17"/>
      <c r="F783" s="18">
        <f>IF(D783="","",D783*IF(E783="",1,E783))</f>
      </c>
      <c r="G783" s="10"/>
    </row>
    <row r="784" spans="1:7" x14ac:dyDescent="0.25">
      <c r="A784" s="7"/>
      <c r="B784" s="10"/>
      <c r="C784" s="10"/>
      <c r="D784" s="13"/>
      <c r="E784" s="17"/>
      <c r="F784" s="18">
        <f>IF(D784="","",D784*IF(E784="",1,E784))</f>
      </c>
      <c r="G784" s="10"/>
    </row>
    <row r="785" spans="1:7" x14ac:dyDescent="0.25">
      <c r="A785" s="7"/>
      <c r="B785" s="10"/>
      <c r="C785" s="10"/>
      <c r="D785" s="13"/>
      <c r="E785" s="17"/>
      <c r="F785" s="18">
        <f>IF(D785="","",D785*IF(E785="",1,E785))</f>
      </c>
      <c r="G785" s="10"/>
    </row>
    <row r="786" spans="1:7" x14ac:dyDescent="0.25">
      <c r="A786" s="7"/>
      <c r="B786" s="10"/>
      <c r="C786" s="10"/>
      <c r="D786" s="13"/>
      <c r="E786" s="17"/>
      <c r="F786" s="18">
        <f>IF(D786="","",D786*IF(E786="",1,E786))</f>
      </c>
      <c r="G786" s="10"/>
    </row>
    <row r="787" spans="1:7" x14ac:dyDescent="0.25">
      <c r="A787" s="7"/>
      <c r="B787" s="10"/>
      <c r="C787" s="10"/>
      <c r="D787" s="13"/>
      <c r="E787" s="17"/>
      <c r="F787" s="18">
        <f>IF(D787="","",D787*IF(E787="",1,E787))</f>
      </c>
      <c r="G787" s="10"/>
    </row>
    <row r="788" spans="1:7" x14ac:dyDescent="0.25">
      <c r="A788" s="7"/>
      <c r="B788" s="10"/>
      <c r="C788" s="10"/>
      <c r="D788" s="13"/>
      <c r="E788" s="17"/>
      <c r="F788" s="18">
        <f>IF(D788="","",D788*IF(E788="",1,E788))</f>
      </c>
      <c r="G788" s="10"/>
    </row>
    <row r="789" spans="1:7" x14ac:dyDescent="0.25">
      <c r="A789" s="7"/>
      <c r="B789" s="10"/>
      <c r="C789" s="10"/>
      <c r="D789" s="13"/>
      <c r="E789" s="17"/>
      <c r="F789" s="18">
        <f>IF(D789="","",D789*IF(E789="",1,E789))</f>
      </c>
      <c r="G789" s="10"/>
    </row>
    <row r="790" spans="1:7" x14ac:dyDescent="0.25">
      <c r="A790" s="7"/>
      <c r="B790" s="10"/>
      <c r="C790" s="10"/>
      <c r="D790" s="13"/>
      <c r="E790" s="17"/>
      <c r="F790" s="18">
        <f>IF(D790="","",D790*IF(E790="",1,E790))</f>
      </c>
      <c r="G790" s="10"/>
    </row>
    <row r="791" spans="1:7" x14ac:dyDescent="0.25">
      <c r="A791" s="7"/>
      <c r="B791" s="10"/>
      <c r="C791" s="10"/>
      <c r="D791" s="13"/>
      <c r="E791" s="17"/>
      <c r="F791" s="18">
        <f>IF(D791="","",D791*IF(E791="",1,E791))</f>
      </c>
      <c r="G791" s="10"/>
    </row>
    <row r="792" spans="1:7" x14ac:dyDescent="0.25">
      <c r="A792" s="7"/>
      <c r="B792" s="10"/>
      <c r="C792" s="10"/>
      <c r="D792" s="13"/>
      <c r="E792" s="17"/>
      <c r="F792" s="18">
        <f>IF(D792="","",D792*IF(E792="",1,E792))</f>
      </c>
      <c r="G792" s="10"/>
    </row>
    <row r="793" spans="1:7" x14ac:dyDescent="0.25">
      <c r="A793" s="7"/>
      <c r="B793" s="10"/>
      <c r="C793" s="10"/>
      <c r="D793" s="13"/>
      <c r="E793" s="17"/>
      <c r="F793" s="18">
        <f>IF(D793="","",D793*IF(E793="",1,E793))</f>
      </c>
      <c r="G793" s="10"/>
    </row>
    <row r="794" spans="1:7" x14ac:dyDescent="0.25">
      <c r="A794" s="7"/>
      <c r="B794" s="10"/>
      <c r="C794" s="10"/>
      <c r="D794" s="13"/>
      <c r="E794" s="17"/>
      <c r="F794" s="18">
        <f>IF(D794="","",D794*IF(E794="",1,E794))</f>
      </c>
      <c r="G794" s="10"/>
    </row>
    <row r="795" spans="1:7" x14ac:dyDescent="0.25">
      <c r="A795" s="7"/>
      <c r="B795" s="10"/>
      <c r="C795" s="10"/>
      <c r="D795" s="13"/>
      <c r="E795" s="17"/>
      <c r="F795" s="18">
        <f>IF(D795="","",D795*IF(E795="",1,E795))</f>
      </c>
      <c r="G795" s="10"/>
    </row>
    <row r="796" spans="1:7" x14ac:dyDescent="0.25">
      <c r="A796" s="7"/>
      <c r="B796" s="10"/>
      <c r="C796" s="10"/>
      <c r="D796" s="13"/>
      <c r="E796" s="17"/>
      <c r="F796" s="18">
        <f>IF(D796="","",D796*IF(E796="",1,E796))</f>
      </c>
      <c r="G796" s="10"/>
    </row>
    <row r="797" spans="1:7" x14ac:dyDescent="0.25">
      <c r="A797" s="7"/>
      <c r="B797" s="10"/>
      <c r="C797" s="10"/>
      <c r="D797" s="13"/>
      <c r="E797" s="17"/>
      <c r="F797" s="18">
        <f>IF(D797="","",D797*IF(E797="",1,E797))</f>
      </c>
      <c r="G797" s="10"/>
    </row>
    <row r="798" spans="1:7" x14ac:dyDescent="0.25">
      <c r="A798" s="7"/>
      <c r="B798" s="10"/>
      <c r="C798" s="10"/>
      <c r="D798" s="13"/>
      <c r="E798" s="17"/>
      <c r="F798" s="18">
        <f>IF(D798="","",D798*IF(E798="",1,E798))</f>
      </c>
      <c r="G798" s="10"/>
    </row>
    <row r="799" spans="1:7" x14ac:dyDescent="0.25">
      <c r="A799" s="7"/>
      <c r="B799" s="10"/>
      <c r="C799" s="10"/>
      <c r="D799" s="13"/>
      <c r="E799" s="17"/>
      <c r="F799" s="18">
        <f>IF(D799="","",D799*IF(E799="",1,E799))</f>
      </c>
      <c r="G799" s="10"/>
    </row>
    <row r="800" spans="1:7" x14ac:dyDescent="0.25">
      <c r="A800" s="7"/>
      <c r="B800" s="10"/>
      <c r="C800" s="10"/>
      <c r="D800" s="13"/>
      <c r="E800" s="17"/>
      <c r="F800" s="18">
        <f>IF(D800="","",D800*IF(E800="",1,E800))</f>
      </c>
      <c r="G800" s="10"/>
    </row>
    <row r="801" spans="1:7" x14ac:dyDescent="0.25">
      <c r="A801" s="7"/>
      <c r="B801" s="10"/>
      <c r="C801" s="10"/>
      <c r="D801" s="13"/>
      <c r="E801" s="17"/>
      <c r="F801" s="18">
        <f>IF(D801="","",D801*IF(E801="",1,E801))</f>
      </c>
      <c r="G801" s="10"/>
    </row>
    <row r="802" spans="1:7" x14ac:dyDescent="0.25">
      <c r="A802" s="7"/>
      <c r="B802" s="10"/>
      <c r="C802" s="10"/>
      <c r="D802" s="13"/>
      <c r="E802" s="17"/>
      <c r="F802" s="18">
        <f>IF(D802="","",D802*IF(E802="",1,E802))</f>
      </c>
      <c r="G802" s="10"/>
    </row>
    <row r="803" spans="1:7" x14ac:dyDescent="0.25">
      <c r="A803" s="7"/>
      <c r="B803" s="10"/>
      <c r="C803" s="10"/>
      <c r="D803" s="13"/>
      <c r="E803" s="17"/>
      <c r="F803" s="18">
        <f>IF(D803="","",D803*IF(E803="",1,E803))</f>
      </c>
      <c r="G803" s="10"/>
    </row>
    <row r="804" spans="1:7" x14ac:dyDescent="0.25">
      <c r="A804" s="7"/>
      <c r="B804" s="10"/>
      <c r="C804" s="10"/>
      <c r="D804" s="13"/>
      <c r="E804" s="17"/>
      <c r="F804" s="18">
        <f>IF(D804="","",D804*IF(E804="",1,E804))</f>
      </c>
      <c r="G804" s="10"/>
    </row>
    <row r="805" spans="1:7" x14ac:dyDescent="0.25">
      <c r="A805" s="7"/>
      <c r="B805" s="10"/>
      <c r="C805" s="10"/>
      <c r="D805" s="13"/>
      <c r="E805" s="17"/>
      <c r="F805" s="18">
        <f>IF(D805="","",D805*IF(E805="",1,E805))</f>
      </c>
      <c r="G805" s="10"/>
    </row>
    <row r="806" spans="1:7" x14ac:dyDescent="0.25">
      <c r="A806" s="7"/>
      <c r="B806" s="10"/>
      <c r="C806" s="10"/>
      <c r="D806" s="13"/>
      <c r="E806" s="17"/>
      <c r="F806" s="18">
        <f>IF(D806="","",D806*IF(E806="",1,E806))</f>
      </c>
      <c r="G806" s="10"/>
    </row>
    <row r="807" spans="1:7" x14ac:dyDescent="0.25">
      <c r="A807" s="7"/>
      <c r="B807" s="10"/>
      <c r="C807" s="10"/>
      <c r="D807" s="13"/>
      <c r="E807" s="17"/>
      <c r="F807" s="18">
        <f>IF(D807="","",D807*IF(E807="",1,E807))</f>
      </c>
      <c r="G807" s="10"/>
    </row>
    <row r="808" spans="1:7" x14ac:dyDescent="0.25">
      <c r="A808" s="7"/>
      <c r="B808" s="10"/>
      <c r="C808" s="10"/>
      <c r="D808" s="13"/>
      <c r="E808" s="17"/>
      <c r="F808" s="18">
        <f>IF(D808="","",D808*IF(E808="",1,E808))</f>
      </c>
      <c r="G808" s="10"/>
    </row>
    <row r="809" spans="1:7" x14ac:dyDescent="0.25">
      <c r="A809" s="7"/>
      <c r="B809" s="10"/>
      <c r="C809" s="10"/>
      <c r="D809" s="13"/>
      <c r="E809" s="17"/>
      <c r="F809" s="18">
        <f>IF(D809="","",D809*IF(E809="",1,E809))</f>
      </c>
      <c r="G809" s="10"/>
    </row>
    <row r="810" spans="1:7" x14ac:dyDescent="0.25">
      <c r="A810" s="7"/>
      <c r="B810" s="10"/>
      <c r="C810" s="10"/>
      <c r="D810" s="13"/>
      <c r="E810" s="17"/>
      <c r="F810" s="18">
        <f>IF(D810="","",D810*IF(E810="",1,E810))</f>
      </c>
      <c r="G810" s="10"/>
    </row>
    <row r="811" spans="1:7" x14ac:dyDescent="0.25">
      <c r="A811" s="7"/>
      <c r="B811" s="10"/>
      <c r="C811" s="10"/>
      <c r="D811" s="13"/>
      <c r="E811" s="17"/>
      <c r="F811" s="18">
        <f>IF(D811="","",D811*IF(E811="",1,E811))</f>
      </c>
      <c r="G811" s="10"/>
    </row>
    <row r="812" spans="1:7" x14ac:dyDescent="0.25">
      <c r="A812" s="7"/>
      <c r="B812" s="10"/>
      <c r="C812" s="10"/>
      <c r="D812" s="13"/>
      <c r="E812" s="17"/>
      <c r="F812" s="18">
        <f>IF(D812="","",D812*IF(E812="",1,E812))</f>
      </c>
      <c r="G812" s="10"/>
    </row>
    <row r="813" spans="1:7" x14ac:dyDescent="0.25">
      <c r="A813" s="7"/>
      <c r="B813" s="10"/>
      <c r="C813" s="10"/>
      <c r="D813" s="13"/>
      <c r="E813" s="17"/>
      <c r="F813" s="18">
        <f>IF(D813="","",D813*IF(E813="",1,E813))</f>
      </c>
      <c r="G813" s="10"/>
    </row>
    <row r="814" spans="1:7" x14ac:dyDescent="0.25">
      <c r="A814" s="7"/>
      <c r="B814" s="10"/>
      <c r="C814" s="10"/>
      <c r="D814" s="13"/>
      <c r="E814" s="17"/>
      <c r="F814" s="18">
        <f>IF(D814="","",D814*IF(E814="",1,E814))</f>
      </c>
      <c r="G814" s="10"/>
    </row>
    <row r="815" spans="1:7" x14ac:dyDescent="0.25">
      <c r="A815" s="7"/>
      <c r="B815" s="10"/>
      <c r="C815" s="10"/>
      <c r="D815" s="13"/>
      <c r="E815" s="17"/>
      <c r="F815" s="18">
        <f>IF(D815="","",D815*IF(E815="",1,E815))</f>
      </c>
      <c r="G815" s="10"/>
    </row>
    <row r="816" spans="1:7" x14ac:dyDescent="0.25">
      <c r="A816" s="7"/>
      <c r="B816" s="10"/>
      <c r="C816" s="10"/>
      <c r="D816" s="13"/>
      <c r="E816" s="17"/>
      <c r="F816" s="18">
        <f>IF(D816="","",D816*IF(E816="",1,E816))</f>
      </c>
      <c r="G816" s="10"/>
    </row>
    <row r="817" spans="1:7" x14ac:dyDescent="0.25">
      <c r="A817" s="7"/>
      <c r="B817" s="10"/>
      <c r="C817" s="10"/>
      <c r="D817" s="13"/>
      <c r="E817" s="17"/>
      <c r="F817" s="18">
        <f>IF(D817="","",D817*IF(E817="",1,E817))</f>
      </c>
      <c r="G817" s="10"/>
    </row>
    <row r="818" spans="1:7" x14ac:dyDescent="0.25">
      <c r="A818" s="7"/>
      <c r="B818" s="10"/>
      <c r="C818" s="10"/>
      <c r="D818" s="13"/>
      <c r="E818" s="17"/>
      <c r="F818" s="18">
        <f>IF(D818="","",D818*IF(E818="",1,E818))</f>
      </c>
      <c r="G818" s="10"/>
    </row>
    <row r="819" spans="1:7" x14ac:dyDescent="0.25">
      <c r="A819" s="7"/>
      <c r="B819" s="10"/>
      <c r="C819" s="10"/>
      <c r="D819" s="13"/>
      <c r="E819" s="17"/>
      <c r="F819" s="18">
        <f>IF(D819="","",D819*IF(E819="",1,E819))</f>
      </c>
      <c r="G819" s="10"/>
    </row>
    <row r="820" spans="1:7" x14ac:dyDescent="0.25">
      <c r="A820" s="7"/>
      <c r="B820" s="10"/>
      <c r="C820" s="10"/>
      <c r="D820" s="13"/>
      <c r="E820" s="17"/>
      <c r="F820" s="18">
        <f>IF(D820="","",D820*IF(E820="",1,E820))</f>
      </c>
      <c r="G820" s="10"/>
    </row>
    <row r="821" spans="1:7" x14ac:dyDescent="0.25">
      <c r="A821" s="7"/>
      <c r="B821" s="10"/>
      <c r="C821" s="10"/>
      <c r="D821" s="13"/>
      <c r="E821" s="17"/>
      <c r="F821" s="18">
        <f>IF(D821="","",D821*IF(E821="",1,E821))</f>
      </c>
      <c r="G821" s="10"/>
    </row>
    <row r="822" spans="1:7" x14ac:dyDescent="0.25">
      <c r="A822" s="7"/>
      <c r="B822" s="10"/>
      <c r="C822" s="10"/>
      <c r="D822" s="13"/>
      <c r="E822" s="17"/>
      <c r="F822" s="18">
        <f>IF(D822="","",D822*IF(E822="",1,E822))</f>
      </c>
      <c r="G822" s="10"/>
    </row>
    <row r="823" spans="1:7" x14ac:dyDescent="0.25">
      <c r="A823" s="7"/>
      <c r="B823" s="10"/>
      <c r="C823" s="10"/>
      <c r="D823" s="13"/>
      <c r="E823" s="17"/>
      <c r="F823" s="18">
        <f>IF(D823="","",D823*IF(E823="",1,E823))</f>
      </c>
      <c r="G823" s="10"/>
    </row>
    <row r="824" spans="1:7" x14ac:dyDescent="0.25">
      <c r="A824" s="7"/>
      <c r="B824" s="10"/>
      <c r="C824" s="10"/>
      <c r="D824" s="13"/>
      <c r="E824" s="17"/>
      <c r="F824" s="18">
        <f>IF(D824="","",D824*IF(E824="",1,E824))</f>
      </c>
      <c r="G824" s="10"/>
    </row>
    <row r="825" spans="1:7" x14ac:dyDescent="0.25">
      <c r="A825" s="7"/>
      <c r="B825" s="10"/>
      <c r="C825" s="10"/>
      <c r="D825" s="13"/>
      <c r="E825" s="17"/>
      <c r="F825" s="18">
        <f>IF(D825="","",D825*IF(E825="",1,E825))</f>
      </c>
      <c r="G825" s="10"/>
    </row>
    <row r="826" spans="1:7" x14ac:dyDescent="0.25">
      <c r="A826" s="7"/>
      <c r="B826" s="10"/>
      <c r="C826" s="10"/>
      <c r="D826" s="13"/>
      <c r="E826" s="17"/>
      <c r="F826" s="18">
        <f>IF(D826="","",D826*IF(E826="",1,E826))</f>
      </c>
      <c r="G826" s="10"/>
    </row>
    <row r="827" spans="1:7" x14ac:dyDescent="0.25">
      <c r="A827" s="7"/>
      <c r="B827" s="10"/>
      <c r="C827" s="10"/>
      <c r="D827" s="13"/>
      <c r="E827" s="17"/>
      <c r="F827" s="18">
        <f>IF(D827="","",D827*IF(E827="",1,E827))</f>
      </c>
      <c r="G827" s="10"/>
    </row>
    <row r="828" spans="1:7" x14ac:dyDescent="0.25">
      <c r="A828" s="7"/>
      <c r="B828" s="10"/>
      <c r="C828" s="10"/>
      <c r="D828" s="13"/>
      <c r="E828" s="17"/>
      <c r="F828" s="18">
        <f>IF(D828="","",D828*IF(E828="",1,E828))</f>
      </c>
      <c r="G828" s="10"/>
    </row>
    <row r="829" spans="1:7" x14ac:dyDescent="0.25">
      <c r="A829" s="7"/>
      <c r="B829" s="10"/>
      <c r="C829" s="10"/>
      <c r="D829" s="13"/>
      <c r="E829" s="17"/>
      <c r="F829" s="18">
        <f>IF(D829="","",D829*IF(E829="",1,E829))</f>
      </c>
      <c r="G829" s="10"/>
    </row>
    <row r="830" spans="1:7" x14ac:dyDescent="0.25">
      <c r="A830" s="7"/>
      <c r="B830" s="10"/>
      <c r="C830" s="10"/>
      <c r="D830" s="13"/>
      <c r="E830" s="17"/>
      <c r="F830" s="18">
        <f>IF(D830="","",D830*IF(E830="",1,E830))</f>
      </c>
      <c r="G830" s="10"/>
    </row>
    <row r="831" spans="1:7" x14ac:dyDescent="0.25">
      <c r="A831" s="7"/>
      <c r="B831" s="10"/>
      <c r="C831" s="10"/>
      <c r="D831" s="13"/>
      <c r="E831" s="17"/>
      <c r="F831" s="18">
        <f>IF(D831="","",D831*IF(E831="",1,E831))</f>
      </c>
      <c r="G831" s="10"/>
    </row>
    <row r="832" spans="1:7" x14ac:dyDescent="0.25">
      <c r="A832" s="7"/>
      <c r="B832" s="10"/>
      <c r="C832" s="10"/>
      <c r="D832" s="13"/>
      <c r="E832" s="17"/>
      <c r="F832" s="18">
        <f>IF(D832="","",D832*IF(E832="",1,E832))</f>
      </c>
      <c r="G832" s="10"/>
    </row>
    <row r="833" spans="1:7" x14ac:dyDescent="0.25">
      <c r="A833" s="7"/>
      <c r="B833" s="10"/>
      <c r="C833" s="10"/>
      <c r="D833" s="13"/>
      <c r="E833" s="17"/>
      <c r="F833" s="18">
        <f>IF(D833="","",D833*IF(E833="",1,E833))</f>
      </c>
      <c r="G833" s="10"/>
    </row>
    <row r="834" spans="1:7" x14ac:dyDescent="0.25">
      <c r="A834" s="7"/>
      <c r="B834" s="10"/>
      <c r="C834" s="10"/>
      <c r="D834" s="13"/>
      <c r="E834" s="17"/>
      <c r="F834" s="18">
        <f>IF(D834="","",D834*IF(E834="",1,E834))</f>
      </c>
      <c r="G834" s="10"/>
    </row>
    <row r="835" spans="1:7" x14ac:dyDescent="0.25">
      <c r="A835" s="7"/>
      <c r="B835" s="10"/>
      <c r="C835" s="10"/>
      <c r="D835" s="13"/>
      <c r="E835" s="17"/>
      <c r="F835" s="18">
        <f>IF(D835="","",D835*IF(E835="",1,E835))</f>
      </c>
      <c r="G835" s="10"/>
    </row>
    <row r="836" spans="1:7" x14ac:dyDescent="0.25">
      <c r="A836" s="7"/>
      <c r="B836" s="10"/>
      <c r="C836" s="10"/>
      <c r="D836" s="13"/>
      <c r="E836" s="17"/>
      <c r="F836" s="18">
        <f>IF(D836="","",D836*IF(E836="",1,E836))</f>
      </c>
      <c r="G836" s="10"/>
    </row>
    <row r="837" spans="1:7" x14ac:dyDescent="0.25">
      <c r="A837" s="7"/>
      <c r="B837" s="10"/>
      <c r="C837" s="10"/>
      <c r="D837" s="13"/>
      <c r="E837" s="17"/>
      <c r="F837" s="18">
        <f>IF(D837="","",D837*IF(E837="",1,E837))</f>
      </c>
      <c r="G837" s="10"/>
    </row>
    <row r="838" spans="1:7" x14ac:dyDescent="0.25">
      <c r="A838" s="7"/>
      <c r="B838" s="10"/>
      <c r="C838" s="10"/>
      <c r="D838" s="13"/>
      <c r="E838" s="17"/>
      <c r="F838" s="18">
        <f>IF(D838="","",D838*IF(E838="",1,E838))</f>
      </c>
      <c r="G838" s="10"/>
    </row>
    <row r="839" spans="1:7" x14ac:dyDescent="0.25">
      <c r="A839" s="7"/>
      <c r="B839" s="10"/>
      <c r="C839" s="10"/>
      <c r="D839" s="13"/>
      <c r="E839" s="17"/>
      <c r="F839" s="18">
        <f>IF(D839="","",D839*IF(E839="",1,E839))</f>
      </c>
      <c r="G839" s="10"/>
    </row>
    <row r="840" spans="1:7" x14ac:dyDescent="0.25">
      <c r="A840" s="7"/>
      <c r="B840" s="10"/>
      <c r="C840" s="10"/>
      <c r="D840" s="13"/>
      <c r="E840" s="17"/>
      <c r="F840" s="18">
        <f>IF(D840="","",D840*IF(E840="",1,E840))</f>
      </c>
      <c r="G840" s="10"/>
    </row>
    <row r="841" spans="1:7" x14ac:dyDescent="0.25">
      <c r="A841" s="7"/>
      <c r="B841" s="10"/>
      <c r="C841" s="10"/>
      <c r="D841" s="13"/>
      <c r="E841" s="17"/>
      <c r="F841" s="18">
        <f>IF(D841="","",D841*IF(E841="",1,E841))</f>
      </c>
      <c r="G841" s="10"/>
    </row>
    <row r="842" spans="1:7" x14ac:dyDescent="0.25">
      <c r="A842" s="7"/>
      <c r="B842" s="10"/>
      <c r="C842" s="10"/>
      <c r="D842" s="13"/>
      <c r="E842" s="17"/>
      <c r="F842" s="18">
        <f>IF(D842="","",D842*IF(E842="",1,E842))</f>
      </c>
      <c r="G842" s="10"/>
    </row>
    <row r="843" spans="1:7" x14ac:dyDescent="0.25">
      <c r="A843" s="7"/>
      <c r="B843" s="10"/>
      <c r="C843" s="10"/>
      <c r="D843" s="13"/>
      <c r="E843" s="17"/>
      <c r="F843" s="18">
        <f>IF(D843="","",D843*IF(E843="",1,E843))</f>
      </c>
      <c r="G843" s="10"/>
    </row>
    <row r="844" spans="1:7" x14ac:dyDescent="0.25">
      <c r="A844" s="7"/>
      <c r="B844" s="10"/>
      <c r="C844" s="10"/>
      <c r="D844" s="13"/>
      <c r="E844" s="17"/>
      <c r="F844" s="18">
        <f>IF(D844="","",D844*IF(E844="",1,E844))</f>
      </c>
      <c r="G844" s="10"/>
    </row>
    <row r="845" spans="1:7" x14ac:dyDescent="0.25">
      <c r="A845" s="7"/>
      <c r="B845" s="10"/>
      <c r="C845" s="10"/>
      <c r="D845" s="13"/>
      <c r="E845" s="17"/>
      <c r="F845" s="18">
        <f>IF(D845="","",D845*IF(E845="",1,E845))</f>
      </c>
      <c r="G845" s="10"/>
    </row>
    <row r="846" spans="1:7" x14ac:dyDescent="0.25">
      <c r="A846" s="7"/>
      <c r="B846" s="10"/>
      <c r="C846" s="10"/>
      <c r="D846" s="13"/>
      <c r="E846" s="17"/>
      <c r="F846" s="18">
        <f>IF(D846="","",D846*IF(E846="",1,E846))</f>
      </c>
      <c r="G846" s="10"/>
    </row>
    <row r="847" spans="1:7" x14ac:dyDescent="0.25">
      <c r="A847" s="7"/>
      <c r="B847" s="10"/>
      <c r="C847" s="10"/>
      <c r="D847" s="13"/>
      <c r="E847" s="17"/>
      <c r="F847" s="18">
        <f>IF(D847="","",D847*IF(E847="",1,E847))</f>
      </c>
      <c r="G847" s="10"/>
    </row>
    <row r="848" spans="1:7" x14ac:dyDescent="0.25">
      <c r="A848" s="7"/>
      <c r="B848" s="10"/>
      <c r="C848" s="10"/>
      <c r="D848" s="13"/>
      <c r="E848" s="17"/>
      <c r="F848" s="18">
        <f>IF(D848="","",D848*IF(E848="",1,E848))</f>
      </c>
      <c r="G848" s="10"/>
    </row>
    <row r="849" spans="1:7" x14ac:dyDescent="0.25">
      <c r="A849" s="7"/>
      <c r="B849" s="10"/>
      <c r="C849" s="10"/>
      <c r="D849" s="13"/>
      <c r="E849" s="17"/>
      <c r="F849" s="18">
        <f>IF(D849="","",D849*IF(E849="",1,E849))</f>
      </c>
      <c r="G849" s="10"/>
    </row>
    <row r="850" spans="1:7" x14ac:dyDescent="0.25">
      <c r="A850" s="7"/>
      <c r="B850" s="10"/>
      <c r="C850" s="10"/>
      <c r="D850" s="13"/>
      <c r="E850" s="17"/>
      <c r="F850" s="18">
        <f>IF(D850="","",D850*IF(E850="",1,E850))</f>
      </c>
      <c r="G850" s="10"/>
    </row>
    <row r="851" spans="1:7" x14ac:dyDescent="0.25">
      <c r="A851" s="7"/>
      <c r="B851" s="10"/>
      <c r="C851" s="10"/>
      <c r="D851" s="13"/>
      <c r="E851" s="17"/>
      <c r="F851" s="18">
        <f>IF(D851="","",D851*IF(E851="",1,E851))</f>
      </c>
      <c r="G851" s="10"/>
    </row>
    <row r="852" spans="1:7" x14ac:dyDescent="0.25">
      <c r="A852" s="7"/>
      <c r="B852" s="10"/>
      <c r="C852" s="10"/>
      <c r="D852" s="13"/>
      <c r="E852" s="17"/>
      <c r="F852" s="18">
        <f>IF(D852="","",D852*IF(E852="",1,E852))</f>
      </c>
      <c r="G852" s="10"/>
    </row>
    <row r="853" spans="1:7" x14ac:dyDescent="0.25">
      <c r="A853" s="7"/>
      <c r="B853" s="10"/>
      <c r="C853" s="10"/>
      <c r="D853" s="13"/>
      <c r="E853" s="17"/>
      <c r="F853" s="18">
        <f>IF(D853="","",D853*IF(E853="",1,E853))</f>
      </c>
      <c r="G853" s="10"/>
    </row>
    <row r="854" spans="1:7" x14ac:dyDescent="0.25">
      <c r="A854" s="7"/>
      <c r="B854" s="10"/>
      <c r="C854" s="10"/>
      <c r="D854" s="13"/>
      <c r="E854" s="17"/>
      <c r="F854" s="18">
        <f>IF(D854="","",D854*IF(E854="",1,E854))</f>
      </c>
      <c r="G854" s="10"/>
    </row>
    <row r="855" spans="1:7" x14ac:dyDescent="0.25">
      <c r="A855" s="7"/>
      <c r="B855" s="10"/>
      <c r="C855" s="10"/>
      <c r="D855" s="13"/>
      <c r="E855" s="17"/>
      <c r="F855" s="18">
        <f>IF(D855="","",D855*IF(E855="",1,E855))</f>
      </c>
      <c r="G855" s="10"/>
    </row>
    <row r="856" spans="1:7" x14ac:dyDescent="0.25">
      <c r="A856" s="7"/>
      <c r="B856" s="10"/>
      <c r="C856" s="10"/>
      <c r="D856" s="13"/>
      <c r="E856" s="17"/>
      <c r="F856" s="18">
        <f>IF(D856="","",D856*IF(E856="",1,E856))</f>
      </c>
      <c r="G856" s="10"/>
    </row>
    <row r="857" spans="1:7" x14ac:dyDescent="0.25">
      <c r="A857" s="7"/>
      <c r="B857" s="10"/>
      <c r="C857" s="10"/>
      <c r="D857" s="13"/>
      <c r="E857" s="17"/>
      <c r="F857" s="18">
        <f>IF(D857="","",D857*IF(E857="",1,E857))</f>
      </c>
      <c r="G857" s="10"/>
    </row>
    <row r="858" spans="1:7" x14ac:dyDescent="0.25">
      <c r="A858" s="7"/>
      <c r="B858" s="10"/>
      <c r="C858" s="10"/>
      <c r="D858" s="13"/>
      <c r="E858" s="17"/>
      <c r="F858" s="18">
        <f>IF(D858="","",D858*IF(E858="",1,E858))</f>
      </c>
      <c r="G858" s="10"/>
    </row>
    <row r="859" spans="1:7" x14ac:dyDescent="0.25">
      <c r="A859" s="7"/>
      <c r="B859" s="10"/>
      <c r="C859" s="10"/>
      <c r="D859" s="13"/>
      <c r="E859" s="17"/>
      <c r="F859" s="18">
        <f>IF(D859="","",D859*IF(E859="",1,E859))</f>
      </c>
      <c r="G859" s="10"/>
    </row>
    <row r="860" spans="1:7" x14ac:dyDescent="0.25">
      <c r="A860" s="7"/>
      <c r="B860" s="10"/>
      <c r="C860" s="10"/>
      <c r="D860" s="13"/>
      <c r="E860" s="17"/>
      <c r="F860" s="18">
        <f>IF(D860="","",D860*IF(E860="",1,E860))</f>
      </c>
      <c r="G860" s="10"/>
    </row>
    <row r="861" spans="1:7" x14ac:dyDescent="0.25">
      <c r="A861" s="7"/>
      <c r="B861" s="10"/>
      <c r="C861" s="10"/>
      <c r="D861" s="13"/>
      <c r="E861" s="17"/>
      <c r="F861" s="18">
        <f>IF(D861="","",D861*IF(E861="",1,E861))</f>
      </c>
      <c r="G861" s="10"/>
    </row>
    <row r="862" spans="1:7" x14ac:dyDescent="0.25">
      <c r="A862" s="7"/>
      <c r="B862" s="10"/>
      <c r="C862" s="10"/>
      <c r="D862" s="13"/>
      <c r="E862" s="17"/>
      <c r="F862" s="18">
        <f>IF(D862="","",D862*IF(E862="",1,E862))</f>
      </c>
      <c r="G862" s="10"/>
    </row>
    <row r="863" spans="1:7" x14ac:dyDescent="0.25">
      <c r="A863" s="7"/>
      <c r="B863" s="10"/>
      <c r="C863" s="10"/>
      <c r="D863" s="13"/>
      <c r="E863" s="17"/>
      <c r="F863" s="18">
        <f>IF(D863="","",D863*IF(E863="",1,E863))</f>
      </c>
      <c r="G863" s="10"/>
    </row>
    <row r="864" spans="1:7" x14ac:dyDescent="0.25">
      <c r="A864" s="7"/>
      <c r="B864" s="10"/>
      <c r="C864" s="10"/>
      <c r="D864" s="13"/>
      <c r="E864" s="17"/>
      <c r="F864" s="18">
        <f>IF(D864="","",D864*IF(E864="",1,E864))</f>
      </c>
      <c r="G864" s="10"/>
    </row>
    <row r="865" spans="1:7" x14ac:dyDescent="0.25">
      <c r="A865" s="7"/>
      <c r="B865" s="10"/>
      <c r="C865" s="10"/>
      <c r="D865" s="13"/>
      <c r="E865" s="17"/>
      <c r="F865" s="18">
        <f>IF(D865="","",D865*IF(E865="",1,E865))</f>
      </c>
      <c r="G865" s="10"/>
    </row>
    <row r="866" spans="1:7" x14ac:dyDescent="0.25">
      <c r="A866" s="7"/>
      <c r="B866" s="10"/>
      <c r="C866" s="10"/>
      <c r="D866" s="13"/>
      <c r="E866" s="17"/>
      <c r="F866" s="18">
        <f>IF(D866="","",D866*IF(E866="",1,E866))</f>
      </c>
      <c r="G866" s="10"/>
    </row>
    <row r="867" spans="1:7" x14ac:dyDescent="0.25">
      <c r="A867" s="7"/>
      <c r="B867" s="10"/>
      <c r="C867" s="10"/>
      <c r="D867" s="13"/>
      <c r="E867" s="17"/>
      <c r="F867" s="18">
        <f>IF(D867="","",D867*IF(E867="",1,E867))</f>
      </c>
      <c r="G867" s="10"/>
    </row>
    <row r="868" spans="1:7" x14ac:dyDescent="0.25">
      <c r="A868" s="7"/>
      <c r="B868" s="10"/>
      <c r="C868" s="10"/>
      <c r="D868" s="13"/>
      <c r="E868" s="17"/>
      <c r="F868" s="18">
        <f>IF(D868="","",D868*IF(E868="",1,E868))</f>
      </c>
      <c r="G868" s="10"/>
    </row>
    <row r="869" spans="1:7" x14ac:dyDescent="0.25">
      <c r="A869" s="7"/>
      <c r="B869" s="10"/>
      <c r="C869" s="10"/>
      <c r="D869" s="13"/>
      <c r="E869" s="17"/>
      <c r="F869" s="18">
        <f>IF(D869="","",D869*IF(E869="",1,E869))</f>
      </c>
      <c r="G869" s="10"/>
    </row>
    <row r="870" spans="1:7" x14ac:dyDescent="0.25">
      <c r="A870" s="7"/>
      <c r="B870" s="10"/>
      <c r="C870" s="10"/>
      <c r="D870" s="13"/>
      <c r="E870" s="17"/>
      <c r="F870" s="18">
        <f>IF(D870="","",D870*IF(E870="",1,E870))</f>
      </c>
      <c r="G870" s="10"/>
    </row>
    <row r="871" spans="1:7" x14ac:dyDescent="0.25">
      <c r="A871" s="7"/>
      <c r="B871" s="10"/>
      <c r="C871" s="10"/>
      <c r="D871" s="13"/>
      <c r="E871" s="17"/>
      <c r="F871" s="18">
        <f>IF(D871="","",D871*IF(E871="",1,E871))</f>
      </c>
      <c r="G871" s="10"/>
    </row>
    <row r="872" spans="1:7" x14ac:dyDescent="0.25">
      <c r="A872" s="7"/>
      <c r="B872" s="10"/>
      <c r="C872" s="10"/>
      <c r="D872" s="13"/>
      <c r="E872" s="17"/>
      <c r="F872" s="18">
        <f>IF(D872="","",D872*IF(E872="",1,E872))</f>
      </c>
      <c r="G872" s="10"/>
    </row>
    <row r="873" spans="1:7" x14ac:dyDescent="0.25">
      <c r="A873" s="7"/>
      <c r="B873" s="10"/>
      <c r="C873" s="10"/>
      <c r="D873" s="13"/>
      <c r="E873" s="17"/>
      <c r="F873" s="18">
        <f>IF(D873="","",D873*IF(E873="",1,E873))</f>
      </c>
      <c r="G873" s="10"/>
    </row>
    <row r="874" spans="1:7" x14ac:dyDescent="0.25">
      <c r="A874" s="7"/>
      <c r="B874" s="10"/>
      <c r="C874" s="10"/>
      <c r="D874" s="13"/>
      <c r="E874" s="17"/>
      <c r="F874" s="18">
        <f>IF(D874="","",D874*IF(E874="",1,E874))</f>
      </c>
      <c r="G874" s="10"/>
    </row>
    <row r="875" spans="1:7" x14ac:dyDescent="0.25">
      <c r="A875" s="7"/>
      <c r="B875" s="10"/>
      <c r="C875" s="10"/>
      <c r="D875" s="13"/>
      <c r="E875" s="17"/>
      <c r="F875" s="18">
        <f>IF(D875="","",D875*IF(E875="",1,E875))</f>
      </c>
      <c r="G875" s="10"/>
    </row>
    <row r="876" spans="1:7" x14ac:dyDescent="0.25">
      <c r="A876" s="7"/>
      <c r="B876" s="10"/>
      <c r="C876" s="10"/>
      <c r="D876" s="13"/>
      <c r="E876" s="17"/>
      <c r="F876" s="18">
        <f>IF(D876="","",D876*IF(E876="",1,E876))</f>
      </c>
      <c r="G876" s="10"/>
    </row>
    <row r="877" spans="1:7" x14ac:dyDescent="0.25">
      <c r="A877" s="7"/>
      <c r="B877" s="10"/>
      <c r="C877" s="10"/>
      <c r="D877" s="13"/>
      <c r="E877" s="17"/>
      <c r="F877" s="18">
        <f>IF(D877="","",D877*IF(E877="",1,E877))</f>
      </c>
      <c r="G877" s="10"/>
    </row>
    <row r="878" spans="1:7" x14ac:dyDescent="0.25">
      <c r="A878" s="7"/>
      <c r="B878" s="10"/>
      <c r="C878" s="10"/>
      <c r="D878" s="13"/>
      <c r="E878" s="17"/>
      <c r="F878" s="18">
        <f>IF(D878="","",D878*IF(E878="",1,E878))</f>
      </c>
      <c r="G878" s="10"/>
    </row>
    <row r="879" spans="1:7" x14ac:dyDescent="0.25">
      <c r="A879" s="7"/>
      <c r="B879" s="10"/>
      <c r="C879" s="10"/>
      <c r="D879" s="13"/>
      <c r="E879" s="17"/>
      <c r="F879" s="18">
        <f>IF(D879="","",D879*IF(E879="",1,E879))</f>
      </c>
      <c r="G879" s="10"/>
    </row>
    <row r="880" spans="1:7" x14ac:dyDescent="0.25">
      <c r="A880" s="7"/>
      <c r="B880" s="10"/>
      <c r="C880" s="10"/>
      <c r="D880" s="13"/>
      <c r="E880" s="17"/>
      <c r="F880" s="18">
        <f>IF(D880="","",D880*IF(E880="",1,E880))</f>
      </c>
      <c r="G880" s="10"/>
    </row>
    <row r="881" spans="1:7" x14ac:dyDescent="0.25">
      <c r="A881" s="7"/>
      <c r="B881" s="10"/>
      <c r="C881" s="10"/>
      <c r="D881" s="13"/>
      <c r="E881" s="17"/>
      <c r="F881" s="18">
        <f>IF(D881="","",D881*IF(E881="",1,E881))</f>
      </c>
      <c r="G881" s="10"/>
    </row>
    <row r="882" spans="1:7" x14ac:dyDescent="0.25">
      <c r="A882" s="7"/>
      <c r="B882" s="10"/>
      <c r="C882" s="10"/>
      <c r="D882" s="13"/>
      <c r="E882" s="17"/>
      <c r="F882" s="18">
        <f>IF(D882="","",D882*IF(E882="",1,E882))</f>
      </c>
      <c r="G882" s="10"/>
    </row>
    <row r="883" spans="1:7" x14ac:dyDescent="0.25">
      <c r="A883" s="7"/>
      <c r="B883" s="10"/>
      <c r="C883" s="10"/>
      <c r="D883" s="13"/>
      <c r="E883" s="17"/>
      <c r="F883" s="18">
        <f>IF(D883="","",D883*IF(E883="",1,E883))</f>
      </c>
      <c r="G883" s="10"/>
    </row>
    <row r="884" spans="1:7" x14ac:dyDescent="0.25">
      <c r="A884" s="7"/>
      <c r="B884" s="10"/>
      <c r="C884" s="10"/>
      <c r="D884" s="13"/>
      <c r="E884" s="17"/>
      <c r="F884" s="18">
        <f>IF(D884="","",D884*IF(E884="",1,E884))</f>
      </c>
      <c r="G884" s="10"/>
    </row>
    <row r="885" spans="1:7" x14ac:dyDescent="0.25">
      <c r="A885" s="7"/>
      <c r="B885" s="10"/>
      <c r="C885" s="10"/>
      <c r="D885" s="13"/>
      <c r="E885" s="17"/>
      <c r="F885" s="18">
        <f>IF(D885="","",D885*IF(E885="",1,E885))</f>
      </c>
      <c r="G885" s="10"/>
    </row>
    <row r="886" spans="1:7" x14ac:dyDescent="0.25">
      <c r="A886" s="7"/>
      <c r="B886" s="10"/>
      <c r="C886" s="10"/>
      <c r="D886" s="13"/>
      <c r="E886" s="17"/>
      <c r="F886" s="18">
        <f>IF(D886="","",D886*IF(E886="",1,E886))</f>
      </c>
      <c r="G886" s="10"/>
    </row>
    <row r="887" spans="1:7" x14ac:dyDescent="0.25">
      <c r="A887" s="7"/>
      <c r="B887" s="10"/>
      <c r="C887" s="10"/>
      <c r="D887" s="13"/>
      <c r="E887" s="17"/>
      <c r="F887" s="18">
        <f>IF(D887="","",D887*IF(E887="",1,E887))</f>
      </c>
      <c r="G887" s="10"/>
    </row>
    <row r="888" spans="1:7" x14ac:dyDescent="0.25">
      <c r="A888" s="7"/>
      <c r="B888" s="10"/>
      <c r="C888" s="10"/>
      <c r="D888" s="13"/>
      <c r="E888" s="17"/>
      <c r="F888" s="18">
        <f>IF(D888="","",D888*IF(E888="",1,E888))</f>
      </c>
      <c r="G888" s="10"/>
    </row>
    <row r="889" spans="1:7" x14ac:dyDescent="0.25">
      <c r="A889" s="7"/>
      <c r="B889" s="10"/>
      <c r="C889" s="10"/>
      <c r="D889" s="13"/>
      <c r="E889" s="17"/>
      <c r="F889" s="18">
        <f>IF(D889="","",D889*IF(E889="",1,E889))</f>
      </c>
      <c r="G889" s="10"/>
    </row>
    <row r="890" spans="1:7" x14ac:dyDescent="0.25">
      <c r="A890" s="7"/>
      <c r="B890" s="10"/>
      <c r="C890" s="10"/>
      <c r="D890" s="13"/>
      <c r="E890" s="17"/>
      <c r="F890" s="18">
        <f>IF(D890="","",D890*IF(E890="",1,E890))</f>
      </c>
      <c r="G890" s="10"/>
    </row>
    <row r="891" spans="1:7" x14ac:dyDescent="0.25">
      <c r="A891" s="7"/>
      <c r="B891" s="10"/>
      <c r="C891" s="10"/>
      <c r="D891" s="13"/>
      <c r="E891" s="17"/>
      <c r="F891" s="18">
        <f>IF(D891="","",D891*IF(E891="",1,E891))</f>
      </c>
      <c r="G891" s="10"/>
    </row>
    <row r="892" spans="1:7" x14ac:dyDescent="0.25">
      <c r="A892" s="7"/>
      <c r="B892" s="10"/>
      <c r="C892" s="10"/>
      <c r="D892" s="13"/>
      <c r="E892" s="17"/>
      <c r="F892" s="18">
        <f>IF(D892="","",D892*IF(E892="",1,E892))</f>
      </c>
      <c r="G892" s="10"/>
    </row>
    <row r="893" spans="1:7" x14ac:dyDescent="0.25">
      <c r="A893" s="7"/>
      <c r="B893" s="10"/>
      <c r="C893" s="10"/>
      <c r="D893" s="13"/>
      <c r="E893" s="17"/>
      <c r="F893" s="18">
        <f>IF(D893="","",D893*IF(E893="",1,E893))</f>
      </c>
      <c r="G893" s="10"/>
    </row>
    <row r="894" spans="1:7" x14ac:dyDescent="0.25">
      <c r="A894" s="7"/>
      <c r="B894" s="10"/>
      <c r="C894" s="10"/>
      <c r="D894" s="13"/>
      <c r="E894" s="17"/>
      <c r="F894" s="18">
        <f>IF(D894="","",D894*IF(E894="",1,E894))</f>
      </c>
      <c r="G894" s="10"/>
    </row>
    <row r="895" spans="1:7" x14ac:dyDescent="0.25">
      <c r="A895" s="7"/>
      <c r="B895" s="10"/>
      <c r="C895" s="10"/>
      <c r="D895" s="13"/>
      <c r="E895" s="17"/>
      <c r="F895" s="18">
        <f>IF(D895="","",D895*IF(E895="",1,E895))</f>
      </c>
      <c r="G895" s="10"/>
    </row>
    <row r="896" spans="1:7" x14ac:dyDescent="0.25">
      <c r="A896" s="7"/>
      <c r="B896" s="10"/>
      <c r="C896" s="10"/>
      <c r="D896" s="13"/>
      <c r="E896" s="17"/>
      <c r="F896" s="18">
        <f>IF(D896="","",D896*IF(E896="",1,E896))</f>
      </c>
      <c r="G896" s="10"/>
    </row>
    <row r="897" spans="1:7" x14ac:dyDescent="0.25">
      <c r="A897" s="7"/>
      <c r="B897" s="10"/>
      <c r="C897" s="10"/>
      <c r="D897" s="13"/>
      <c r="E897" s="17"/>
      <c r="F897" s="18">
        <f>IF(D897="","",D897*IF(E897="",1,E897))</f>
      </c>
      <c r="G897" s="10"/>
    </row>
    <row r="898" spans="1:7" x14ac:dyDescent="0.25">
      <c r="A898" s="7"/>
      <c r="B898" s="10"/>
      <c r="C898" s="10"/>
      <c r="D898" s="13"/>
      <c r="E898" s="17"/>
      <c r="F898" s="18">
        <f>IF(D898="","",D898*IF(E898="",1,E898))</f>
      </c>
      <c r="G898" s="10"/>
    </row>
    <row r="899" spans="1:7" x14ac:dyDescent="0.25">
      <c r="A899" s="7"/>
      <c r="B899" s="10"/>
      <c r="C899" s="10"/>
      <c r="D899" s="13"/>
      <c r="E899" s="17"/>
      <c r="F899" s="18">
        <f>IF(D899="","",D899*IF(E899="",1,E899))</f>
      </c>
      <c r="G899" s="10"/>
    </row>
    <row r="900" spans="1:7" x14ac:dyDescent="0.25">
      <c r="A900" s="7"/>
      <c r="B900" s="10"/>
      <c r="C900" s="10"/>
      <c r="D900" s="13"/>
      <c r="E900" s="17"/>
      <c r="F900" s="18">
        <f>IF(D900="","",D900*IF(E900="",1,E900))</f>
      </c>
      <c r="G900" s="10"/>
    </row>
    <row r="901" spans="1:7" x14ac:dyDescent="0.25">
      <c r="A901" s="7"/>
      <c r="B901" s="10"/>
      <c r="C901" s="10"/>
      <c r="D901" s="13"/>
      <c r="E901" s="17"/>
      <c r="F901" s="18">
        <f>IF(D901="","",D901*IF(E901="",1,E901))</f>
      </c>
      <c r="G901" s="10"/>
    </row>
    <row r="902" spans="1:7" x14ac:dyDescent="0.25">
      <c r="A902" s="7"/>
      <c r="B902" s="10"/>
      <c r="C902" s="10"/>
      <c r="D902" s="13"/>
      <c r="E902" s="17"/>
      <c r="F902" s="18">
        <f>IF(D902="","",D902*IF(E902="",1,E902))</f>
      </c>
      <c r="G902" s="10"/>
    </row>
    <row r="903" spans="1:7" x14ac:dyDescent="0.25">
      <c r="A903" s="7"/>
      <c r="B903" s="10"/>
      <c r="C903" s="10"/>
      <c r="D903" s="13"/>
      <c r="E903" s="17"/>
      <c r="F903" s="18">
        <f>IF(D903="","",D903*IF(E903="",1,E903))</f>
      </c>
      <c r="G903" s="10"/>
    </row>
    <row r="904" spans="1:7" x14ac:dyDescent="0.25">
      <c r="A904" s="7"/>
      <c r="B904" s="10"/>
      <c r="C904" s="10"/>
      <c r="D904" s="13"/>
      <c r="E904" s="17"/>
      <c r="F904" s="18">
        <f>IF(D904="","",D904*IF(E904="",1,E904))</f>
      </c>
      <c r="G904" s="10"/>
    </row>
    <row r="905" spans="1:7" x14ac:dyDescent="0.25">
      <c r="A905" s="7"/>
      <c r="B905" s="10"/>
      <c r="C905" s="10"/>
      <c r="D905" s="13"/>
      <c r="E905" s="17"/>
      <c r="F905" s="18">
        <f>IF(D905="","",D905*IF(E905="",1,E905))</f>
      </c>
      <c r="G905" s="10"/>
    </row>
    <row r="906" spans="1:7" x14ac:dyDescent="0.25">
      <c r="A906" s="7"/>
      <c r="B906" s="10"/>
      <c r="C906" s="10"/>
      <c r="D906" s="13"/>
      <c r="E906" s="17"/>
      <c r="F906" s="18">
        <f>IF(D906="","",D906*IF(E906="",1,E906))</f>
      </c>
      <c r="G906" s="10"/>
    </row>
    <row r="907" spans="1:7" x14ac:dyDescent="0.25">
      <c r="A907" s="7"/>
      <c r="B907" s="10"/>
      <c r="C907" s="10"/>
      <c r="D907" s="13"/>
      <c r="E907" s="17"/>
      <c r="F907" s="18">
        <f>IF(D907="","",D907*IF(E907="",1,E907))</f>
      </c>
      <c r="G907" s="10"/>
    </row>
    <row r="908" spans="1:7" x14ac:dyDescent="0.25">
      <c r="A908" s="7"/>
      <c r="B908" s="10"/>
      <c r="C908" s="10"/>
      <c r="D908" s="13"/>
      <c r="E908" s="17"/>
      <c r="F908" s="18">
        <f>IF(D908="","",D908*IF(E908="",1,E908))</f>
      </c>
      <c r="G908" s="10"/>
    </row>
    <row r="909" spans="1:7" x14ac:dyDescent="0.25">
      <c r="A909" s="7"/>
      <c r="B909" s="10"/>
      <c r="C909" s="10"/>
      <c r="D909" s="13"/>
      <c r="E909" s="17"/>
      <c r="F909" s="18">
        <f>IF(D909="","",D909*IF(E909="",1,E909))</f>
      </c>
      <c r="G909" s="10"/>
    </row>
    <row r="910" spans="1:7" x14ac:dyDescent="0.25">
      <c r="A910" s="7"/>
      <c r="B910" s="10"/>
      <c r="C910" s="10"/>
      <c r="D910" s="13"/>
      <c r="E910" s="17"/>
      <c r="F910" s="18">
        <f>IF(D910="","",D910*IF(E910="",1,E910))</f>
      </c>
      <c r="G910" s="10"/>
    </row>
    <row r="911" spans="1:7" x14ac:dyDescent="0.25">
      <c r="A911" s="7"/>
      <c r="B911" s="10"/>
      <c r="C911" s="10"/>
      <c r="D911" s="13"/>
      <c r="E911" s="17"/>
      <c r="F911" s="18">
        <f>IF(D911="","",D911*IF(E911="",1,E911))</f>
      </c>
      <c r="G911" s="10"/>
    </row>
    <row r="912" spans="1:7" x14ac:dyDescent="0.25">
      <c r="A912" s="7"/>
      <c r="B912" s="10"/>
      <c r="C912" s="10"/>
      <c r="D912" s="13"/>
      <c r="E912" s="17"/>
      <c r="F912" s="18">
        <f>IF(D912="","",D912*IF(E912="",1,E912))</f>
      </c>
      <c r="G912" s="10"/>
    </row>
    <row r="913" spans="1:7" x14ac:dyDescent="0.25">
      <c r="A913" s="7"/>
      <c r="B913" s="10"/>
      <c r="C913" s="10"/>
      <c r="D913" s="13"/>
      <c r="E913" s="17"/>
      <c r="F913" s="18">
        <f>IF(D913="","",D913*IF(E913="",1,E913))</f>
      </c>
      <c r="G913" s="10"/>
    </row>
    <row r="914" spans="1:7" x14ac:dyDescent="0.25">
      <c r="A914" s="7"/>
      <c r="B914" s="10"/>
      <c r="C914" s="10"/>
      <c r="D914" s="13"/>
      <c r="E914" s="17"/>
      <c r="F914" s="18">
        <f>IF(D914="","",D914*IF(E914="",1,E914))</f>
      </c>
      <c r="G914" s="10"/>
    </row>
    <row r="915" spans="1:7" x14ac:dyDescent="0.25">
      <c r="A915" s="7"/>
      <c r="B915" s="10"/>
      <c r="C915" s="10"/>
      <c r="D915" s="13"/>
      <c r="E915" s="17"/>
      <c r="F915" s="18">
        <f>IF(D915="","",D915*IF(E915="",1,E915))</f>
      </c>
      <c r="G915" s="10"/>
    </row>
    <row r="916" spans="1:7" x14ac:dyDescent="0.25">
      <c r="A916" s="7"/>
      <c r="B916" s="10"/>
      <c r="C916" s="10"/>
      <c r="D916" s="13"/>
      <c r="E916" s="17"/>
      <c r="F916" s="18">
        <f>IF(D916="","",D916*IF(E916="",1,E916))</f>
      </c>
      <c r="G916" s="10"/>
    </row>
    <row r="917" spans="1:7" x14ac:dyDescent="0.25">
      <c r="A917" s="7"/>
      <c r="B917" s="10"/>
      <c r="C917" s="10"/>
      <c r="D917" s="13"/>
      <c r="E917" s="17"/>
      <c r="F917" s="18">
        <f>IF(D917="","",D917*IF(E917="",1,E917))</f>
      </c>
      <c r="G917" s="10"/>
    </row>
    <row r="918" spans="1:7" x14ac:dyDescent="0.25">
      <c r="A918" s="7"/>
      <c r="B918" s="10"/>
      <c r="C918" s="10"/>
      <c r="D918" s="13"/>
      <c r="E918" s="17"/>
      <c r="F918" s="18">
        <f>IF(D918="","",D918*IF(E918="",1,E918))</f>
      </c>
      <c r="G918" s="10"/>
    </row>
    <row r="919" spans="1:7" x14ac:dyDescent="0.25">
      <c r="A919" s="7"/>
      <c r="B919" s="10"/>
      <c r="C919" s="10"/>
      <c r="D919" s="13"/>
      <c r="E919" s="17"/>
      <c r="F919" s="18">
        <f>IF(D919="","",D919*IF(E919="",1,E919))</f>
      </c>
      <c r="G919" s="10"/>
    </row>
    <row r="920" spans="1:7" x14ac:dyDescent="0.25">
      <c r="A920" s="7"/>
      <c r="B920" s="10"/>
      <c r="C920" s="10"/>
      <c r="D920" s="13"/>
      <c r="E920" s="17"/>
      <c r="F920" s="18">
        <f>IF(D920="","",D920*IF(E920="",1,E920))</f>
      </c>
      <c r="G920" s="10"/>
    </row>
    <row r="921" spans="1:7" x14ac:dyDescent="0.25">
      <c r="A921" s="7"/>
      <c r="B921" s="10"/>
      <c r="C921" s="10"/>
      <c r="D921" s="13"/>
      <c r="E921" s="17"/>
      <c r="F921" s="18">
        <f>IF(D921="","",D921*IF(E921="",1,E921))</f>
      </c>
      <c r="G921" s="10"/>
    </row>
    <row r="922" spans="1:7" x14ac:dyDescent="0.25">
      <c r="A922" s="7"/>
      <c r="B922" s="10"/>
      <c r="C922" s="10"/>
      <c r="D922" s="13"/>
      <c r="E922" s="17"/>
      <c r="F922" s="18">
        <f>IF(D922="","",D922*IF(E922="",1,E922))</f>
      </c>
      <c r="G922" s="10"/>
    </row>
    <row r="923" spans="1:7" x14ac:dyDescent="0.25">
      <c r="A923" s="7"/>
      <c r="B923" s="10"/>
      <c r="C923" s="10"/>
      <c r="D923" s="13"/>
      <c r="E923" s="17"/>
      <c r="F923" s="18">
        <f>IF(D923="","",D923*IF(E923="",1,E923))</f>
      </c>
      <c r="G923" s="10"/>
    </row>
    <row r="924" spans="1:7" x14ac:dyDescent="0.25">
      <c r="A924" s="7"/>
      <c r="B924" s="10"/>
      <c r="C924" s="10"/>
      <c r="D924" s="13"/>
      <c r="E924" s="17"/>
      <c r="F924" s="18">
        <f>IF(D924="","",D924*IF(E924="",1,E924))</f>
      </c>
      <c r="G924" s="10"/>
    </row>
    <row r="925" spans="1:7" x14ac:dyDescent="0.25">
      <c r="A925" s="7"/>
      <c r="B925" s="10"/>
      <c r="C925" s="10"/>
      <c r="D925" s="13"/>
      <c r="E925" s="17"/>
      <c r="F925" s="18">
        <f>IF(D925="","",D925*IF(E925="",1,E925))</f>
      </c>
      <c r="G925" s="10"/>
    </row>
    <row r="926" spans="1:7" x14ac:dyDescent="0.25">
      <c r="A926" s="7"/>
      <c r="B926" s="10"/>
      <c r="C926" s="10"/>
      <c r="D926" s="13"/>
      <c r="E926" s="17"/>
      <c r="F926" s="18">
        <f>IF(D926="","",D926*IF(E926="",1,E926))</f>
      </c>
      <c r="G926" s="10"/>
    </row>
    <row r="927" spans="1:7" x14ac:dyDescent="0.25">
      <c r="A927" s="7"/>
      <c r="B927" s="10"/>
      <c r="C927" s="10"/>
      <c r="D927" s="13"/>
      <c r="E927" s="17"/>
      <c r="F927" s="18">
        <f>IF(D927="","",D927*IF(E927="",1,E927))</f>
      </c>
      <c r="G927" s="10"/>
    </row>
    <row r="928" spans="1:7" x14ac:dyDescent="0.25">
      <c r="A928" s="7"/>
      <c r="B928" s="10"/>
      <c r="C928" s="10"/>
      <c r="D928" s="13"/>
      <c r="E928" s="17"/>
      <c r="F928" s="18">
        <f>IF(D928="","",D928*IF(E928="",1,E928))</f>
      </c>
      <c r="G928" s="10"/>
    </row>
    <row r="929" spans="1:7" x14ac:dyDescent="0.25">
      <c r="A929" s="7"/>
      <c r="B929" s="10"/>
      <c r="C929" s="10"/>
      <c r="D929" s="13"/>
      <c r="E929" s="17"/>
      <c r="F929" s="18">
        <f>IF(D929="","",D929*IF(E929="",1,E929))</f>
      </c>
      <c r="G929" s="10"/>
    </row>
    <row r="930" spans="1:7" x14ac:dyDescent="0.25">
      <c r="A930" s="7"/>
      <c r="B930" s="10"/>
      <c r="C930" s="10"/>
      <c r="D930" s="13"/>
      <c r="E930" s="17"/>
      <c r="F930" s="18">
        <f>IF(D930="","",D930*IF(E930="",1,E930))</f>
      </c>
      <c r="G930" s="10"/>
    </row>
    <row r="931" spans="1:7" x14ac:dyDescent="0.25">
      <c r="A931" s="7"/>
      <c r="B931" s="10"/>
      <c r="C931" s="10"/>
      <c r="D931" s="13"/>
      <c r="E931" s="17"/>
      <c r="F931" s="18">
        <f>IF(D931="","",D931*IF(E931="",1,E931))</f>
      </c>
      <c r="G931" s="10"/>
    </row>
    <row r="932" spans="1:7" x14ac:dyDescent="0.25">
      <c r="A932" s="7"/>
      <c r="B932" s="10"/>
      <c r="C932" s="10"/>
      <c r="D932" s="13"/>
      <c r="E932" s="17"/>
      <c r="F932" s="18">
        <f>IF(D932="","",D932*IF(E932="",1,E932))</f>
      </c>
      <c r="G932" s="10"/>
    </row>
    <row r="933" spans="1:7" x14ac:dyDescent="0.25">
      <c r="A933" s="7"/>
      <c r="B933" s="10"/>
      <c r="C933" s="10"/>
      <c r="D933" s="13"/>
      <c r="E933" s="17"/>
      <c r="F933" s="18">
        <f>IF(D933="","",D933*IF(E933="",1,E933))</f>
      </c>
      <c r="G933" s="10"/>
    </row>
    <row r="934" spans="1:7" x14ac:dyDescent="0.25">
      <c r="A934" s="7"/>
      <c r="B934" s="10"/>
      <c r="C934" s="10"/>
      <c r="D934" s="13"/>
      <c r="E934" s="17"/>
      <c r="F934" s="18">
        <f>IF(D934="","",D934*IF(E934="",1,E934))</f>
      </c>
      <c r="G934" s="10"/>
    </row>
    <row r="935" spans="1:7" x14ac:dyDescent="0.25">
      <c r="A935" s="7"/>
      <c r="B935" s="10"/>
      <c r="C935" s="10"/>
      <c r="D935" s="13"/>
      <c r="E935" s="17"/>
      <c r="F935" s="18">
        <f>IF(D935="","",D935*IF(E935="",1,E935))</f>
      </c>
      <c r="G935" s="10"/>
    </row>
    <row r="936" spans="1:7" x14ac:dyDescent="0.25">
      <c r="A936" s="7"/>
      <c r="B936" s="10"/>
      <c r="C936" s="10"/>
      <c r="D936" s="13"/>
      <c r="E936" s="17"/>
      <c r="F936" s="18">
        <f>IF(D936="","",D936*IF(E936="",1,E936))</f>
      </c>
      <c r="G936" s="10"/>
    </row>
    <row r="937" spans="1:7" x14ac:dyDescent="0.25">
      <c r="A937" s="7"/>
      <c r="B937" s="10"/>
      <c r="C937" s="10"/>
      <c r="D937" s="13"/>
      <c r="E937" s="17"/>
      <c r="F937" s="18">
        <f>IF(D937="","",D937*IF(E937="",1,E937))</f>
      </c>
      <c r="G937" s="10"/>
    </row>
    <row r="938" spans="1:7" x14ac:dyDescent="0.25">
      <c r="A938" s="7"/>
      <c r="B938" s="10"/>
      <c r="C938" s="10"/>
      <c r="D938" s="13"/>
      <c r="E938" s="17"/>
      <c r="F938" s="18">
        <f>IF(D938="","",D938*IF(E938="",1,E938))</f>
      </c>
      <c r="G938" s="10"/>
    </row>
    <row r="939" spans="1:7" x14ac:dyDescent="0.25">
      <c r="A939" s="7"/>
      <c r="B939" s="10"/>
      <c r="C939" s="10"/>
      <c r="D939" s="13"/>
      <c r="E939" s="17"/>
      <c r="F939" s="18">
        <f>IF(D939="","",D939*IF(E939="",1,E939))</f>
      </c>
      <c r="G939" s="10"/>
    </row>
    <row r="940" spans="1:7" x14ac:dyDescent="0.25">
      <c r="A940" s="7"/>
      <c r="B940" s="10"/>
      <c r="C940" s="10"/>
      <c r="D940" s="13"/>
      <c r="E940" s="17"/>
      <c r="F940" s="18">
        <f>IF(D940="","",D940*IF(E940="",1,E940))</f>
      </c>
      <c r="G940" s="10"/>
    </row>
    <row r="941" spans="1:7" x14ac:dyDescent="0.25">
      <c r="A941" s="7"/>
      <c r="B941" s="10"/>
      <c r="C941" s="10"/>
      <c r="D941" s="13"/>
      <c r="E941" s="17"/>
      <c r="F941" s="18">
        <f>IF(D941="","",D941*IF(E941="",1,E941))</f>
      </c>
      <c r="G941" s="10"/>
    </row>
    <row r="942" spans="1:7" x14ac:dyDescent="0.25">
      <c r="A942" s="7"/>
      <c r="B942" s="10"/>
      <c r="C942" s="10"/>
      <c r="D942" s="13"/>
      <c r="E942" s="17"/>
      <c r="F942" s="18">
        <f>IF(D942="","",D942*IF(E942="",1,E942))</f>
      </c>
      <c r="G942" s="10"/>
    </row>
    <row r="943" spans="1:7" x14ac:dyDescent="0.25">
      <c r="A943" s="7"/>
      <c r="B943" s="10"/>
      <c r="C943" s="10"/>
      <c r="D943" s="13"/>
      <c r="E943" s="17"/>
      <c r="F943" s="18">
        <f>IF(D943="","",D943*IF(E943="",1,E943))</f>
      </c>
      <c r="G943" s="10"/>
    </row>
    <row r="944" spans="1:7" x14ac:dyDescent="0.25">
      <c r="A944" s="7"/>
      <c r="B944" s="10"/>
      <c r="C944" s="10"/>
      <c r="D944" s="13"/>
      <c r="E944" s="17"/>
      <c r="F944" s="18">
        <f>IF(D944="","",D944*IF(E944="",1,E944))</f>
      </c>
      <c r="G944" s="10"/>
    </row>
    <row r="945" spans="1:7" x14ac:dyDescent="0.25">
      <c r="A945" s="7"/>
      <c r="B945" s="10"/>
      <c r="C945" s="10"/>
      <c r="D945" s="13"/>
      <c r="E945" s="17"/>
      <c r="F945" s="18">
        <f>IF(D945="","",D945*IF(E945="",1,E945))</f>
      </c>
      <c r="G945" s="10"/>
    </row>
    <row r="946" spans="1:7" x14ac:dyDescent="0.25">
      <c r="A946" s="7"/>
      <c r="B946" s="10"/>
      <c r="C946" s="10"/>
      <c r="D946" s="13"/>
      <c r="E946" s="17"/>
      <c r="F946" s="18">
        <f>IF(D946="","",D946*IF(E946="",1,E946))</f>
      </c>
      <c r="G946" s="10"/>
    </row>
    <row r="947" spans="1:7" x14ac:dyDescent="0.25">
      <c r="A947" s="7"/>
      <c r="B947" s="10"/>
      <c r="C947" s="10"/>
      <c r="D947" s="13"/>
      <c r="E947" s="17"/>
      <c r="F947" s="18">
        <f>IF(D947="","",D947*IF(E947="",1,E947))</f>
      </c>
      <c r="G947" s="10"/>
    </row>
    <row r="948" spans="1:7" x14ac:dyDescent="0.25">
      <c r="A948" s="7"/>
      <c r="B948" s="10"/>
      <c r="C948" s="10"/>
      <c r="D948" s="13"/>
      <c r="E948" s="17"/>
      <c r="F948" s="18">
        <f>IF(D948="","",D948*IF(E948="",1,E948))</f>
      </c>
      <c r="G948" s="10"/>
    </row>
    <row r="949" spans="1:7" x14ac:dyDescent="0.25">
      <c r="A949" s="7"/>
      <c r="B949" s="10"/>
      <c r="C949" s="10"/>
      <c r="D949" s="13"/>
      <c r="E949" s="17"/>
      <c r="F949" s="18">
        <f>IF(D949="","",D949*IF(E949="",1,E949))</f>
      </c>
      <c r="G949" s="10"/>
    </row>
    <row r="950" spans="1:7" x14ac:dyDescent="0.25">
      <c r="A950" s="7"/>
      <c r="B950" s="10"/>
      <c r="C950" s="10"/>
      <c r="D950" s="13"/>
      <c r="E950" s="17"/>
      <c r="F950" s="18">
        <f>IF(D950="","",D950*IF(E950="",1,E950))</f>
      </c>
      <c r="G950" s="10"/>
    </row>
    <row r="951" spans="1:7" x14ac:dyDescent="0.25">
      <c r="A951" s="7"/>
      <c r="B951" s="10"/>
      <c r="C951" s="10"/>
      <c r="D951" s="13"/>
      <c r="E951" s="17"/>
      <c r="F951" s="18">
        <f>IF(D951="","",D951*IF(E951="",1,E951))</f>
      </c>
      <c r="G951" s="10"/>
    </row>
    <row r="952" spans="1:7" x14ac:dyDescent="0.25">
      <c r="A952" s="7"/>
      <c r="B952" s="10"/>
      <c r="C952" s="10"/>
      <c r="D952" s="13"/>
      <c r="E952" s="17"/>
      <c r="F952" s="18">
        <f>IF(D952="","",D952*IF(E952="",1,E952))</f>
      </c>
      <c r="G952" s="10"/>
    </row>
    <row r="953" spans="1:7" x14ac:dyDescent="0.25">
      <c r="A953" s="7"/>
      <c r="B953" s="10"/>
      <c r="C953" s="10"/>
      <c r="D953" s="13"/>
      <c r="E953" s="17"/>
      <c r="F953" s="18">
        <f>IF(D953="","",D953*IF(E953="",1,E953))</f>
      </c>
      <c r="G953" s="10"/>
    </row>
    <row r="954" spans="1:7" x14ac:dyDescent="0.25">
      <c r="A954" s="7"/>
      <c r="B954" s="10"/>
      <c r="C954" s="10"/>
      <c r="D954" s="13"/>
      <c r="E954" s="17"/>
      <c r="F954" s="18">
        <f>IF(D954="","",D954*IF(E954="",1,E954))</f>
      </c>
      <c r="G954" s="10"/>
    </row>
    <row r="955" spans="1:7" x14ac:dyDescent="0.25">
      <c r="A955" s="7"/>
      <c r="B955" s="10"/>
      <c r="C955" s="10"/>
      <c r="D955" s="13"/>
      <c r="E955" s="17"/>
      <c r="F955" s="18">
        <f>IF(D955="","",D955*IF(E955="",1,E955))</f>
      </c>
      <c r="G955" s="10"/>
    </row>
    <row r="956" spans="1:7" x14ac:dyDescent="0.25">
      <c r="A956" s="7"/>
      <c r="B956" s="10"/>
      <c r="C956" s="10"/>
      <c r="D956" s="13"/>
      <c r="E956" s="17"/>
      <c r="F956" s="18">
        <f>IF(D956="","",D956*IF(E956="",1,E956))</f>
      </c>
      <c r="G956" s="10"/>
    </row>
    <row r="957" spans="1:7" x14ac:dyDescent="0.25">
      <c r="A957" s="7"/>
      <c r="B957" s="10"/>
      <c r="C957" s="10"/>
      <c r="D957" s="13"/>
      <c r="E957" s="17"/>
      <c r="F957" s="18">
        <f>IF(D957="","",D957*IF(E957="",1,E957))</f>
      </c>
      <c r="G957" s="10"/>
    </row>
    <row r="958" spans="1:7" x14ac:dyDescent="0.25">
      <c r="A958" s="7"/>
      <c r="B958" s="10"/>
      <c r="C958" s="10"/>
      <c r="D958" s="13"/>
      <c r="E958" s="17"/>
      <c r="F958" s="18">
        <f>IF(D958="","",D958*IF(E958="",1,E958))</f>
      </c>
      <c r="G958" s="10"/>
    </row>
    <row r="959" spans="1:7" x14ac:dyDescent="0.25">
      <c r="A959" s="7"/>
      <c r="B959" s="10"/>
      <c r="C959" s="10"/>
      <c r="D959" s="13"/>
      <c r="E959" s="17"/>
      <c r="F959" s="18">
        <f>IF(D959="","",D959*IF(E959="",1,E959))</f>
      </c>
      <c r="G959" s="10"/>
    </row>
    <row r="960" spans="1:7" x14ac:dyDescent="0.25">
      <c r="A960" s="7"/>
      <c r="B960" s="10"/>
      <c r="C960" s="10"/>
      <c r="D960" s="13"/>
      <c r="E960" s="17"/>
      <c r="F960" s="18">
        <f>IF(D960="","",D960*IF(E960="",1,E960))</f>
      </c>
      <c r="G960" s="10"/>
    </row>
    <row r="961" spans="1:7" x14ac:dyDescent="0.25">
      <c r="A961" s="7"/>
      <c r="B961" s="10"/>
      <c r="C961" s="10"/>
      <c r="D961" s="13"/>
      <c r="E961" s="17"/>
      <c r="F961" s="18">
        <f>IF(D961="","",D961*IF(E961="",1,E961))</f>
      </c>
      <c r="G961" s="10"/>
    </row>
    <row r="962" spans="1:7" x14ac:dyDescent="0.25">
      <c r="A962" s="7"/>
      <c r="B962" s="10"/>
      <c r="C962" s="10"/>
      <c r="D962" s="13"/>
      <c r="E962" s="17"/>
      <c r="F962" s="18">
        <f>IF(D962="","",D962*IF(E962="",1,E962))</f>
      </c>
      <c r="G962" s="10"/>
    </row>
    <row r="963" spans="1:7" x14ac:dyDescent="0.25">
      <c r="A963" s="7"/>
      <c r="B963" s="10"/>
      <c r="C963" s="10"/>
      <c r="D963" s="13"/>
      <c r="E963" s="17"/>
      <c r="F963" s="18">
        <f>IF(D963="","",D963*IF(E963="",1,E963))</f>
      </c>
      <c r="G963" s="10"/>
    </row>
    <row r="964" spans="1:7" x14ac:dyDescent="0.25">
      <c r="A964" s="7"/>
      <c r="B964" s="10"/>
      <c r="C964" s="10"/>
      <c r="D964" s="13"/>
      <c r="E964" s="17"/>
      <c r="F964" s="18">
        <f>IF(D964="","",D964*IF(E964="",1,E964))</f>
      </c>
      <c r="G964" s="10"/>
    </row>
    <row r="965" spans="1:7" x14ac:dyDescent="0.25">
      <c r="A965" s="7"/>
      <c r="B965" s="10"/>
      <c r="C965" s="10"/>
      <c r="D965" s="13"/>
      <c r="E965" s="17"/>
      <c r="F965" s="18">
        <f>IF(D965="","",D965*IF(E965="",1,E965))</f>
      </c>
      <c r="G965" s="10"/>
    </row>
    <row r="966" spans="1:7" x14ac:dyDescent="0.25">
      <c r="A966" s="7"/>
      <c r="B966" s="10"/>
      <c r="C966" s="10"/>
      <c r="D966" s="13"/>
      <c r="E966" s="17"/>
      <c r="F966" s="18">
        <f>IF(D966="","",D966*IF(E966="",1,E966))</f>
      </c>
      <c r="G966" s="10"/>
    </row>
    <row r="967" spans="1:7" x14ac:dyDescent="0.25">
      <c r="A967" s="7"/>
      <c r="B967" s="10"/>
      <c r="C967" s="10"/>
      <c r="D967" s="13"/>
      <c r="E967" s="17"/>
      <c r="F967" s="18">
        <f>IF(D967="","",D967*IF(E967="",1,E967))</f>
      </c>
      <c r="G967" s="10"/>
    </row>
    <row r="968" spans="1:7" x14ac:dyDescent="0.25">
      <c r="A968" s="7"/>
      <c r="B968" s="10"/>
      <c r="C968" s="10"/>
      <c r="D968" s="13"/>
      <c r="E968" s="17"/>
      <c r="F968" s="18">
        <f>IF(D968="","",D968*IF(E968="",1,E968))</f>
      </c>
      <c r="G968" s="10"/>
    </row>
    <row r="969" spans="1:7" x14ac:dyDescent="0.25">
      <c r="A969" s="7"/>
      <c r="B969" s="10"/>
      <c r="C969" s="10"/>
      <c r="D969" s="13"/>
      <c r="E969" s="17"/>
      <c r="F969" s="18">
        <f>IF(D969="","",D969*IF(E969="",1,E969))</f>
      </c>
      <c r="G969" s="10"/>
    </row>
    <row r="970" spans="1:7" x14ac:dyDescent="0.25">
      <c r="A970" s="7"/>
      <c r="B970" s="10"/>
      <c r="C970" s="10"/>
      <c r="D970" s="13"/>
      <c r="E970" s="17"/>
      <c r="F970" s="18">
        <f>IF(D970="","",D970*IF(E970="",1,E970))</f>
      </c>
      <c r="G970" s="10"/>
    </row>
    <row r="971" spans="1:7" x14ac:dyDescent="0.25">
      <c r="A971" s="7"/>
      <c r="B971" s="10"/>
      <c r="C971" s="10"/>
      <c r="D971" s="13"/>
      <c r="E971" s="17"/>
      <c r="F971" s="18">
        <f>IF(D971="","",D971*IF(E971="",1,E971))</f>
      </c>
      <c r="G971" s="10"/>
    </row>
    <row r="972" spans="1:7" x14ac:dyDescent="0.25">
      <c r="A972" s="7"/>
      <c r="B972" s="10"/>
      <c r="C972" s="10"/>
      <c r="D972" s="13"/>
      <c r="E972" s="17"/>
      <c r="F972" s="18">
        <f>IF(D972="","",D972*IF(E972="",1,E972))</f>
      </c>
      <c r="G972" s="10"/>
    </row>
    <row r="973" spans="1:7" x14ac:dyDescent="0.25">
      <c r="A973" s="7"/>
      <c r="B973" s="10"/>
      <c r="C973" s="10"/>
      <c r="D973" s="13"/>
      <c r="E973" s="17"/>
      <c r="F973" s="18">
        <f>IF(D973="","",D973*IF(E973="",1,E973))</f>
      </c>
      <c r="G973" s="10"/>
    </row>
    <row r="974" spans="1:7" x14ac:dyDescent="0.25">
      <c r="A974" s="7"/>
      <c r="B974" s="10"/>
      <c r="C974" s="10"/>
      <c r="D974" s="13"/>
      <c r="E974" s="17"/>
      <c r="F974" s="18">
        <f>IF(D974="","",D974*IF(E974="",1,E974))</f>
      </c>
      <c r="G974" s="10"/>
    </row>
    <row r="975" spans="1:7" x14ac:dyDescent="0.25">
      <c r="A975" s="7"/>
      <c r="B975" s="10"/>
      <c r="C975" s="10"/>
      <c r="D975" s="13"/>
      <c r="E975" s="17"/>
      <c r="F975" s="18">
        <f>IF(D975="","",D975*IF(E975="",1,E975))</f>
      </c>
      <c r="G975" s="10"/>
    </row>
    <row r="976" spans="1:7" x14ac:dyDescent="0.25">
      <c r="A976" s="7"/>
      <c r="B976" s="10"/>
      <c r="C976" s="10"/>
      <c r="D976" s="13"/>
      <c r="E976" s="17"/>
      <c r="F976" s="18">
        <f>IF(D976="","",D976*IF(E976="",1,E976))</f>
      </c>
      <c r="G976" s="10"/>
    </row>
    <row r="977" spans="1:7" x14ac:dyDescent="0.25">
      <c r="A977" s="7"/>
      <c r="B977" s="10"/>
      <c r="C977" s="10"/>
      <c r="D977" s="13"/>
      <c r="E977" s="17"/>
      <c r="F977" s="18">
        <f>IF(D977="","",D977*IF(E977="",1,E977))</f>
      </c>
      <c r="G977" s="10"/>
    </row>
    <row r="978" spans="1:7" x14ac:dyDescent="0.25">
      <c r="A978" s="7"/>
      <c r="B978" s="10"/>
      <c r="C978" s="10"/>
      <c r="D978" s="13"/>
      <c r="E978" s="17"/>
      <c r="F978" s="18">
        <f>IF(D978="","",D978*IF(E978="",1,E978))</f>
      </c>
      <c r="G978" s="10"/>
    </row>
    <row r="979" spans="1:7" x14ac:dyDescent="0.25">
      <c r="A979" s="7"/>
      <c r="B979" s="10"/>
      <c r="C979" s="10"/>
      <c r="D979" s="13"/>
      <c r="E979" s="17"/>
      <c r="F979" s="18">
        <f>IF(D979="","",D979*IF(E979="",1,E979))</f>
      </c>
      <c r="G979" s="10"/>
    </row>
    <row r="980" spans="1:7" x14ac:dyDescent="0.25">
      <c r="A980" s="7"/>
      <c r="B980" s="10"/>
      <c r="C980" s="10"/>
      <c r="D980" s="13"/>
      <c r="E980" s="17"/>
      <c r="F980" s="18">
        <f>IF(D980="","",D980*IF(E980="",1,E980))</f>
      </c>
      <c r="G980" s="10"/>
    </row>
    <row r="981" spans="1:7" x14ac:dyDescent="0.25">
      <c r="A981" s="7"/>
      <c r="B981" s="10"/>
      <c r="C981" s="10"/>
      <c r="D981" s="13"/>
      <c r="E981" s="17"/>
      <c r="F981" s="18">
        <f>IF(D981="","",D981*IF(E981="",1,E981))</f>
      </c>
      <c r="G981" s="10"/>
    </row>
    <row r="982" spans="1:7" x14ac:dyDescent="0.25">
      <c r="A982" s="7"/>
      <c r="B982" s="10"/>
      <c r="C982" s="10"/>
      <c r="D982" s="13"/>
      <c r="E982" s="17"/>
      <c r="F982" s="18">
        <f>IF(D982="","",D982*IF(E982="",1,E982))</f>
      </c>
      <c r="G982" s="10"/>
    </row>
    <row r="983" spans="1:7" x14ac:dyDescent="0.25">
      <c r="A983" s="7"/>
      <c r="B983" s="10"/>
      <c r="C983" s="10"/>
      <c r="D983" s="13"/>
      <c r="E983" s="17"/>
      <c r="F983" s="18">
        <f>IF(D983="","",D983*IF(E983="",1,E983))</f>
      </c>
      <c r="G983" s="10"/>
    </row>
    <row r="984" spans="1:7" x14ac:dyDescent="0.25">
      <c r="A984" s="7"/>
      <c r="B984" s="10"/>
      <c r="C984" s="10"/>
      <c r="D984" s="13"/>
      <c r="E984" s="17"/>
      <c r="F984" s="18">
        <f>IF(D984="","",D984*IF(E984="",1,E984))</f>
      </c>
      <c r="G984" s="10"/>
    </row>
    <row r="985" spans="1:7" x14ac:dyDescent="0.25">
      <c r="A985" s="7"/>
      <c r="B985" s="10"/>
      <c r="C985" s="10"/>
      <c r="D985" s="13"/>
      <c r="E985" s="17"/>
      <c r="F985" s="18">
        <f>IF(D985="","",D985*IF(E985="",1,E985))</f>
      </c>
      <c r="G985" s="10"/>
    </row>
    <row r="986" spans="1:7" x14ac:dyDescent="0.25">
      <c r="A986" s="7"/>
      <c r="B986" s="10"/>
      <c r="C986" s="10"/>
      <c r="D986" s="13"/>
      <c r="E986" s="17"/>
      <c r="F986" s="18">
        <f>IF(D986="","",D986*IF(E986="",1,E986))</f>
      </c>
      <c r="G986" s="10"/>
    </row>
    <row r="987" spans="1:7" x14ac:dyDescent="0.25">
      <c r="A987" s="7"/>
      <c r="B987" s="10"/>
      <c r="C987" s="10"/>
      <c r="D987" s="13"/>
      <c r="E987" s="17"/>
      <c r="F987" s="18">
        <f>IF(D987="","",D987*IF(E987="",1,E987))</f>
      </c>
      <c r="G987" s="10"/>
    </row>
    <row r="988" spans="1:7" x14ac:dyDescent="0.25">
      <c r="A988" s="7"/>
      <c r="B988" s="10"/>
      <c r="C988" s="10"/>
      <c r="D988" s="13"/>
      <c r="E988" s="17"/>
      <c r="F988" s="18">
        <f>IF(D988="","",D988*IF(E988="",1,E988))</f>
      </c>
      <c r="G988" s="10"/>
    </row>
    <row r="989" spans="1:7" x14ac:dyDescent="0.25">
      <c r="A989" s="7"/>
      <c r="B989" s="10"/>
      <c r="C989" s="10"/>
      <c r="D989" s="13"/>
      <c r="E989" s="17"/>
      <c r="F989" s="18">
        <f>IF(D989="","",D989*IF(E989="",1,E989))</f>
      </c>
      <c r="G989" s="10"/>
    </row>
    <row r="990" spans="1:7" x14ac:dyDescent="0.25">
      <c r="A990" s="7"/>
      <c r="B990" s="10"/>
      <c r="C990" s="10"/>
      <c r="D990" s="13"/>
      <c r="E990" s="17"/>
      <c r="F990" s="18">
        <f>IF(D990="","",D990*IF(E990="",1,E990))</f>
      </c>
      <c r="G990" s="10"/>
    </row>
    <row r="991" spans="1:7" x14ac:dyDescent="0.25">
      <c r="A991" s="7"/>
      <c r="B991" s="10"/>
      <c r="C991" s="10"/>
      <c r="D991" s="13"/>
      <c r="E991" s="17"/>
      <c r="F991" s="18">
        <f>IF(D991="","",D991*IF(E991="",1,E991))</f>
      </c>
      <c r="G991" s="10"/>
    </row>
    <row r="992" spans="1:7" x14ac:dyDescent="0.25">
      <c r="A992" s="7"/>
      <c r="B992" s="10"/>
      <c r="C992" s="10"/>
      <c r="D992" s="13"/>
      <c r="E992" s="17"/>
      <c r="F992" s="18">
        <f>IF(D992="","",D992*IF(E992="",1,E992))</f>
      </c>
      <c r="G992" s="10"/>
    </row>
    <row r="993" spans="1:7" x14ac:dyDescent="0.25">
      <c r="A993" s="7"/>
      <c r="B993" s="10"/>
      <c r="C993" s="10"/>
      <c r="D993" s="13"/>
      <c r="E993" s="17"/>
      <c r="F993" s="18">
        <f>IF(D993="","",D993*IF(E993="",1,E993))</f>
      </c>
      <c r="G993" s="10"/>
    </row>
    <row r="994" spans="1:7" x14ac:dyDescent="0.25">
      <c r="A994" s="7"/>
      <c r="B994" s="10"/>
      <c r="C994" s="10"/>
      <c r="D994" s="13"/>
      <c r="E994" s="17"/>
      <c r="F994" s="18">
        <f>IF(D994="","",D994*IF(E994="",1,E994))</f>
      </c>
      <c r="G994" s="10"/>
    </row>
    <row r="995" spans="1:7" x14ac:dyDescent="0.25">
      <c r="A995" s="7"/>
      <c r="B995" s="10"/>
      <c r="C995" s="10"/>
      <c r="D995" s="13"/>
      <c r="E995" s="17"/>
      <c r="F995" s="18">
        <f>IF(D995="","",D995*IF(E995="",1,E995))</f>
      </c>
      <c r="G995" s="10"/>
    </row>
    <row r="996" spans="1:7" x14ac:dyDescent="0.25">
      <c r="A996" s="7"/>
      <c r="B996" s="10"/>
      <c r="C996" s="10"/>
      <c r="D996" s="13"/>
      <c r="E996" s="17"/>
      <c r="F996" s="18">
        <f>IF(D996="","",D996*IF(E996="",1,E996))</f>
      </c>
      <c r="G996" s="10"/>
    </row>
    <row r="997" spans="1:7" x14ac:dyDescent="0.25">
      <c r="A997" s="7"/>
      <c r="B997" s="10"/>
      <c r="C997" s="10"/>
      <c r="D997" s="13"/>
      <c r="E997" s="17"/>
      <c r="F997" s="18">
        <f>IF(D997="","",D997*IF(E997="",1,E997))</f>
      </c>
      <c r="G997" s="10"/>
    </row>
    <row r="998" spans="1:7" x14ac:dyDescent="0.25">
      <c r="A998" s="7"/>
      <c r="B998" s="10"/>
      <c r="C998" s="10"/>
      <c r="D998" s="13"/>
      <c r="E998" s="17"/>
      <c r="F998" s="18">
        <f>IF(D998="","",D998*IF(E998="",1,E998))</f>
      </c>
      <c r="G998" s="10"/>
    </row>
    <row r="999" spans="1:7" x14ac:dyDescent="0.25">
      <c r="A999" s="7"/>
      <c r="B999" s="10"/>
      <c r="C999" s="10"/>
      <c r="D999" s="13"/>
      <c r="E999" s="17"/>
      <c r="F999" s="18">
        <f>IF(D999="","",D999*IF(E999="",1,E999))</f>
      </c>
      <c r="G999" s="10"/>
    </row>
    <row r="1000" spans="1:7" x14ac:dyDescent="0.25">
      <c r="A1000" s="7"/>
      <c r="B1000" s="10"/>
      <c r="C1000" s="10"/>
      <c r="D1000" s="13"/>
      <c r="E1000" s="17"/>
      <c r="F1000" s="18">
        <f>IF(D1000="","",D1000*IF(E1000="",1,E1000))</f>
      </c>
      <c r="G1000" s="10"/>
    </row>
    <row r="1001" spans="1:7" x14ac:dyDescent="0.25">
      <c r="A1001" s="7"/>
      <c r="B1001" s="10"/>
      <c r="C1001" s="10"/>
      <c r="D1001" s="13"/>
      <c r="E1001" s="17"/>
      <c r="F1001" s="18">
        <f>IF(D1001="","",D1001*IF(E1001="",1,E1001))</f>
      </c>
      <c r="G1001" s="10"/>
    </row>
    <row r="1002" spans="1:7" x14ac:dyDescent="0.25">
      <c r="A1002" s="7"/>
      <c r="B1002" s="10"/>
      <c r="C1002" s="10"/>
      <c r="D1002" s="13"/>
      <c r="E1002" s="17"/>
      <c r="F1002" s="18">
        <f>IF(D1002="","",D1002*IF(E1002="",1,E1002))</f>
      </c>
      <c r="G1002" s="10"/>
    </row>
    <row r="1003" spans="1:7" x14ac:dyDescent="0.25">
      <c r="A1003" s="7"/>
      <c r="B1003" s="10"/>
      <c r="C1003" s="10"/>
      <c r="D1003" s="13"/>
      <c r="E1003" s="17"/>
      <c r="F1003" s="18">
        <f>IF(D1003="","",D1003*IF(E1003="",1,E1003))</f>
      </c>
      <c r="G1003" s="10"/>
    </row>
    <row r="1004" spans="1:7" x14ac:dyDescent="0.25">
      <c r="A1004" s="7"/>
      <c r="B1004" s="10"/>
      <c r="C1004" s="10"/>
      <c r="D1004" s="13"/>
      <c r="E1004" s="17"/>
      <c r="F1004" s="18">
        <f>IF(D1004="","",D1004*IF(E1004="",1,E1004))</f>
      </c>
      <c r="G1004" s="10"/>
    </row>
    <row r="1005" spans="1:7" x14ac:dyDescent="0.25">
      <c r="A1005" s="7"/>
      <c r="B1005" s="10"/>
      <c r="C1005" s="10"/>
      <c r="D1005" s="13"/>
      <c r="E1005" s="17"/>
      <c r="F1005" s="18">
        <f>IF(D1005="","",D1005*IF(E1005="",1,E1005))</f>
      </c>
      <c r="G1005" s="10"/>
    </row>
  </sheetData>
  <autoFilter ref="A5:G1005"/>
  <mergeCells count="1">
    <mergeCell ref="A2:G2"/>
  </mergeCells>
  <dataValidations count="2">
    <dataValidation type="list" allowBlank="1" showErrorMessage="1" errorTitle="Pick from the list" error="Choose one of the options in the drop-down (set on the Setup tab)." sqref="C6:C1005">
      <formula1>ExpenseCategories</formula1>
    </dataValidation>
    <dataValidation type="decimal" allowBlank="1" showErrorMessage="1" errorTitle="Business share" error="Enter the business share as a percentage between 0 % and 100 % (blank means 100 %)." sqref="E6:E1005">
      <formula1>0</formula1>
      <formula2>1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FBF8F"/>
  </sheetPr>
  <dimension ref="A1:G50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28" customWidth="1"/>
    <col min="4" max="4" width="16" customWidth="1"/>
    <col min="5" max="5" width="10" customWidth="1"/>
    <col min="6" max="7" width="14" customWidth="1"/>
  </cols>
  <sheetData>
    <row r="1" ht="24" customHeight="1" spans="1:1" x14ac:dyDescent="0.25">
      <c r="A1" s="1" t="s">
        <v>130</v>
      </c>
    </row>
    <row r="2" ht="28" customHeight="1" spans="1:7" x14ac:dyDescent="0.25">
      <c r="A2" s="2" t="s">
        <v>131</v>
      </c>
      <c r="B2" s="2"/>
      <c r="C2" s="2"/>
      <c r="D2" s="2"/>
      <c r="E2" s="2"/>
      <c r="F2" s="2"/>
      <c r="G2" s="2"/>
    </row>
    <row r="3" spans="5:7" x14ac:dyDescent="0.25">
      <c r="E3" s="6" t="s">
        <v>112</v>
      </c>
      <c r="F3" s="19">
        <f>SUMIFS(E6:E505,D6:D505,"Car or van")</f>
      </c>
      <c r="G3" s="16">
        <f>SUM(G6:G505)</f>
      </c>
    </row>
    <row r="5" ht="30" customHeight="1" spans="1:7" x14ac:dyDescent="0.25">
      <c r="A5" s="5" t="s">
        <v>113</v>
      </c>
      <c r="B5" s="5" t="s">
        <v>132</v>
      </c>
      <c r="C5" s="5" t="s">
        <v>133</v>
      </c>
      <c r="D5" s="5" t="s">
        <v>134</v>
      </c>
      <c r="E5" s="5" t="s">
        <v>135</v>
      </c>
      <c r="F5" s="5" t="s">
        <v>136</v>
      </c>
      <c r="G5" s="5" t="s">
        <v>137</v>
      </c>
    </row>
    <row r="6" spans="1:7" x14ac:dyDescent="0.25">
      <c r="A6" s="7">
        <v>46134</v>
      </c>
      <c r="B6" s="10" t="s">
        <v>138</v>
      </c>
      <c r="C6" s="10" t="s">
        <v>139</v>
      </c>
      <c r="D6" s="10" t="s">
        <v>103</v>
      </c>
      <c r="E6" s="14">
        <v>64</v>
      </c>
      <c r="F6" s="19">
        <f>IF(D6="Car or van",SUMIFS($E$6:E6,$D$6:D6,"Car or van"),"")</f>
      </c>
      <c r="G6" s="18">
        <f>IF(E6="","",IF(D6="Car or van",(MIN(F6,MileageCarThreshold)-MIN(F6-E6,MileageCarThreshold))*MileageCarFirst+(MAX(F6-MileageCarThreshold,0)-MAX(F6-E6-MileageCarThreshold,0))*MileageCarAfter,IF(D6="Motorcycle",E6*MileageMotorcycle,IF(D6="Bicycle",E6*MileageBicycle,0))))</f>
      </c>
    </row>
    <row r="7" spans="1:7" x14ac:dyDescent="0.25">
      <c r="A7" s="7"/>
      <c r="B7" s="10"/>
      <c r="C7" s="10"/>
      <c r="D7" s="10"/>
      <c r="E7" s="14"/>
      <c r="F7" s="19">
        <f>IF(D7="Car or van",SUMIFS($E$6:E7,$D$6:D7,"Car or van"),"")</f>
      </c>
      <c r="G7" s="18">
        <f>IF(E7="","",IF(D7="Car or van",(MIN(F7,MileageCarThreshold)-MIN(F7-E7,MileageCarThreshold))*MileageCarFirst+(MAX(F7-MileageCarThreshold,0)-MAX(F7-E7-MileageCarThreshold,0))*MileageCarAfter,IF(D7="Motorcycle",E7*MileageMotorcycle,IF(D7="Bicycle",E7*MileageBicycle,0))))</f>
      </c>
    </row>
    <row r="8" spans="1:7" x14ac:dyDescent="0.25">
      <c r="A8" s="7"/>
      <c r="B8" s="10"/>
      <c r="C8" s="10"/>
      <c r="D8" s="10"/>
      <c r="E8" s="14"/>
      <c r="F8" s="19">
        <f>IF(D8="Car or van",SUMIFS($E$6:E8,$D$6:D8,"Car or van"),"")</f>
      </c>
      <c r="G8" s="18">
        <f>IF(E8="","",IF(D8="Car or van",(MIN(F8,MileageCarThreshold)-MIN(F8-E8,MileageCarThreshold))*MileageCarFirst+(MAX(F8-MileageCarThreshold,0)-MAX(F8-E8-MileageCarThreshold,0))*MileageCarAfter,IF(D8="Motorcycle",E8*MileageMotorcycle,IF(D8="Bicycle",E8*MileageBicycle,0))))</f>
      </c>
    </row>
    <row r="9" spans="1:7" x14ac:dyDescent="0.25">
      <c r="A9" s="7"/>
      <c r="B9" s="10"/>
      <c r="C9" s="10"/>
      <c r="D9" s="10"/>
      <c r="E9" s="14"/>
      <c r="F9" s="19">
        <f>IF(D9="Car or van",SUMIFS($E$6:E9,$D$6:D9,"Car or van"),"")</f>
      </c>
      <c r="G9" s="18">
        <f>IF(E9="","",IF(D9="Car or van",(MIN(F9,MileageCarThreshold)-MIN(F9-E9,MileageCarThreshold))*MileageCarFirst+(MAX(F9-MileageCarThreshold,0)-MAX(F9-E9-MileageCarThreshold,0))*MileageCarAfter,IF(D9="Motorcycle",E9*MileageMotorcycle,IF(D9="Bicycle",E9*MileageBicycle,0))))</f>
      </c>
    </row>
    <row r="10" spans="1:7" x14ac:dyDescent="0.25">
      <c r="A10" s="7"/>
      <c r="B10" s="10"/>
      <c r="C10" s="10"/>
      <c r="D10" s="10"/>
      <c r="E10" s="14"/>
      <c r="F10" s="19">
        <f>IF(D10="Car or van",SUMIFS($E$6:E10,$D$6:D10,"Car or van"),"")</f>
      </c>
      <c r="G10" s="18">
        <f>IF(E10="","",IF(D10="Car or van",(MIN(F10,MileageCarThreshold)-MIN(F10-E10,MileageCarThreshold))*MileageCarFirst+(MAX(F10-MileageCarThreshold,0)-MAX(F10-E10-MileageCarThreshold,0))*MileageCarAfter,IF(D10="Motorcycle",E10*MileageMotorcycle,IF(D10="Bicycle",E10*MileageBicycle,0))))</f>
      </c>
    </row>
    <row r="11" spans="1:7" x14ac:dyDescent="0.25">
      <c r="A11" s="7"/>
      <c r="B11" s="10"/>
      <c r="C11" s="10"/>
      <c r="D11" s="10"/>
      <c r="E11" s="14"/>
      <c r="F11" s="19">
        <f>IF(D11="Car or van",SUMIFS($E$6:E11,$D$6:D11,"Car or van"),"")</f>
      </c>
      <c r="G11" s="18">
        <f>IF(E11="","",IF(D11="Car or van",(MIN(F11,MileageCarThreshold)-MIN(F11-E11,MileageCarThreshold))*MileageCarFirst+(MAX(F11-MileageCarThreshold,0)-MAX(F11-E11-MileageCarThreshold,0))*MileageCarAfter,IF(D11="Motorcycle",E11*MileageMotorcycle,IF(D11="Bicycle",E11*MileageBicycle,0))))</f>
      </c>
    </row>
    <row r="12" spans="1:7" x14ac:dyDescent="0.25">
      <c r="A12" s="7"/>
      <c r="B12" s="10"/>
      <c r="C12" s="10"/>
      <c r="D12" s="10"/>
      <c r="E12" s="14"/>
      <c r="F12" s="19">
        <f>IF(D12="Car or van",SUMIFS($E$6:E12,$D$6:D12,"Car or van"),"")</f>
      </c>
      <c r="G12" s="18">
        <f>IF(E12="","",IF(D12="Car or van",(MIN(F12,MileageCarThreshold)-MIN(F12-E12,MileageCarThreshold))*MileageCarFirst+(MAX(F12-MileageCarThreshold,0)-MAX(F12-E12-MileageCarThreshold,0))*MileageCarAfter,IF(D12="Motorcycle",E12*MileageMotorcycle,IF(D12="Bicycle",E12*MileageBicycle,0))))</f>
      </c>
    </row>
    <row r="13" spans="1:7" x14ac:dyDescent="0.25">
      <c r="A13" s="7"/>
      <c r="B13" s="10"/>
      <c r="C13" s="10"/>
      <c r="D13" s="10"/>
      <c r="E13" s="14"/>
      <c r="F13" s="19">
        <f>IF(D13="Car or van",SUMIFS($E$6:E13,$D$6:D13,"Car or van"),"")</f>
      </c>
      <c r="G13" s="18">
        <f>IF(E13="","",IF(D13="Car or van",(MIN(F13,MileageCarThreshold)-MIN(F13-E13,MileageCarThreshold))*MileageCarFirst+(MAX(F13-MileageCarThreshold,0)-MAX(F13-E13-MileageCarThreshold,0))*MileageCarAfter,IF(D13="Motorcycle",E13*MileageMotorcycle,IF(D13="Bicycle",E13*MileageBicycle,0))))</f>
      </c>
    </row>
    <row r="14" spans="1:7" x14ac:dyDescent="0.25">
      <c r="A14" s="7"/>
      <c r="B14" s="10"/>
      <c r="C14" s="10"/>
      <c r="D14" s="10"/>
      <c r="E14" s="14"/>
      <c r="F14" s="19">
        <f>IF(D14="Car or van",SUMIFS($E$6:E14,$D$6:D14,"Car or van"),"")</f>
      </c>
      <c r="G14" s="18">
        <f>IF(E14="","",IF(D14="Car or van",(MIN(F14,MileageCarThreshold)-MIN(F14-E14,MileageCarThreshold))*MileageCarFirst+(MAX(F14-MileageCarThreshold,0)-MAX(F14-E14-MileageCarThreshold,0))*MileageCarAfter,IF(D14="Motorcycle",E14*MileageMotorcycle,IF(D14="Bicycle",E14*MileageBicycle,0))))</f>
      </c>
    </row>
    <row r="15" spans="1:7" x14ac:dyDescent="0.25">
      <c r="A15" s="7"/>
      <c r="B15" s="10"/>
      <c r="C15" s="10"/>
      <c r="D15" s="10"/>
      <c r="E15" s="14"/>
      <c r="F15" s="19">
        <f>IF(D15="Car or van",SUMIFS($E$6:E15,$D$6:D15,"Car or van"),"")</f>
      </c>
      <c r="G15" s="18">
        <f>IF(E15="","",IF(D15="Car or van",(MIN(F15,MileageCarThreshold)-MIN(F15-E15,MileageCarThreshold))*MileageCarFirst+(MAX(F15-MileageCarThreshold,0)-MAX(F15-E15-MileageCarThreshold,0))*MileageCarAfter,IF(D15="Motorcycle",E15*MileageMotorcycle,IF(D15="Bicycle",E15*MileageBicycle,0))))</f>
      </c>
    </row>
    <row r="16" spans="1:7" x14ac:dyDescent="0.25">
      <c r="A16" s="7"/>
      <c r="B16" s="10"/>
      <c r="C16" s="10"/>
      <c r="D16" s="10"/>
      <c r="E16" s="14"/>
      <c r="F16" s="19">
        <f>IF(D16="Car or van",SUMIFS($E$6:E16,$D$6:D16,"Car or van"),"")</f>
      </c>
      <c r="G16" s="18">
        <f>IF(E16="","",IF(D16="Car or van",(MIN(F16,MileageCarThreshold)-MIN(F16-E16,MileageCarThreshold))*MileageCarFirst+(MAX(F16-MileageCarThreshold,0)-MAX(F16-E16-MileageCarThreshold,0))*MileageCarAfter,IF(D16="Motorcycle",E16*MileageMotorcycle,IF(D16="Bicycle",E16*MileageBicycle,0))))</f>
      </c>
    </row>
    <row r="17" spans="1:7" x14ac:dyDescent="0.25">
      <c r="A17" s="7"/>
      <c r="B17" s="10"/>
      <c r="C17" s="10"/>
      <c r="D17" s="10"/>
      <c r="E17" s="14"/>
      <c r="F17" s="19">
        <f>IF(D17="Car or van",SUMIFS($E$6:E17,$D$6:D17,"Car or van"),"")</f>
      </c>
      <c r="G17" s="18">
        <f>IF(E17="","",IF(D17="Car or van",(MIN(F17,MileageCarThreshold)-MIN(F17-E17,MileageCarThreshold))*MileageCarFirst+(MAX(F17-MileageCarThreshold,0)-MAX(F17-E17-MileageCarThreshold,0))*MileageCarAfter,IF(D17="Motorcycle",E17*MileageMotorcycle,IF(D17="Bicycle",E17*MileageBicycle,0))))</f>
      </c>
    </row>
    <row r="18" spans="1:7" x14ac:dyDescent="0.25">
      <c r="A18" s="7"/>
      <c r="B18" s="10"/>
      <c r="C18" s="10"/>
      <c r="D18" s="10"/>
      <c r="E18" s="14"/>
      <c r="F18" s="19">
        <f>IF(D18="Car or van",SUMIFS($E$6:E18,$D$6:D18,"Car or van"),"")</f>
      </c>
      <c r="G18" s="18">
        <f>IF(E18="","",IF(D18="Car or van",(MIN(F18,MileageCarThreshold)-MIN(F18-E18,MileageCarThreshold))*MileageCarFirst+(MAX(F18-MileageCarThreshold,0)-MAX(F18-E18-MileageCarThreshold,0))*MileageCarAfter,IF(D18="Motorcycle",E18*MileageMotorcycle,IF(D18="Bicycle",E18*MileageBicycle,0))))</f>
      </c>
    </row>
    <row r="19" spans="1:7" x14ac:dyDescent="0.25">
      <c r="A19" s="7"/>
      <c r="B19" s="10"/>
      <c r="C19" s="10"/>
      <c r="D19" s="10"/>
      <c r="E19" s="14"/>
      <c r="F19" s="19">
        <f>IF(D19="Car or van",SUMIFS($E$6:E19,$D$6:D19,"Car or van"),"")</f>
      </c>
      <c r="G19" s="18">
        <f>IF(E19="","",IF(D19="Car or van",(MIN(F19,MileageCarThreshold)-MIN(F19-E19,MileageCarThreshold))*MileageCarFirst+(MAX(F19-MileageCarThreshold,0)-MAX(F19-E19-MileageCarThreshold,0))*MileageCarAfter,IF(D19="Motorcycle",E19*MileageMotorcycle,IF(D19="Bicycle",E19*MileageBicycle,0))))</f>
      </c>
    </row>
    <row r="20" spans="1:7" x14ac:dyDescent="0.25">
      <c r="A20" s="7"/>
      <c r="B20" s="10"/>
      <c r="C20" s="10"/>
      <c r="D20" s="10"/>
      <c r="E20" s="14"/>
      <c r="F20" s="19">
        <f>IF(D20="Car or van",SUMIFS($E$6:E20,$D$6:D20,"Car or van"),"")</f>
      </c>
      <c r="G20" s="18">
        <f>IF(E20="","",IF(D20="Car or van",(MIN(F20,MileageCarThreshold)-MIN(F20-E20,MileageCarThreshold))*MileageCarFirst+(MAX(F20-MileageCarThreshold,0)-MAX(F20-E20-MileageCarThreshold,0))*MileageCarAfter,IF(D20="Motorcycle",E20*MileageMotorcycle,IF(D20="Bicycle",E20*MileageBicycle,0))))</f>
      </c>
    </row>
    <row r="21" spans="1:7" x14ac:dyDescent="0.25">
      <c r="A21" s="7"/>
      <c r="B21" s="10"/>
      <c r="C21" s="10"/>
      <c r="D21" s="10"/>
      <c r="E21" s="14"/>
      <c r="F21" s="19">
        <f>IF(D21="Car or van",SUMIFS($E$6:E21,$D$6:D21,"Car or van"),"")</f>
      </c>
      <c r="G21" s="18">
        <f>IF(E21="","",IF(D21="Car or van",(MIN(F21,MileageCarThreshold)-MIN(F21-E21,MileageCarThreshold))*MileageCarFirst+(MAX(F21-MileageCarThreshold,0)-MAX(F21-E21-MileageCarThreshold,0))*MileageCarAfter,IF(D21="Motorcycle",E21*MileageMotorcycle,IF(D21="Bicycle",E21*MileageBicycle,0))))</f>
      </c>
    </row>
    <row r="22" spans="1:7" x14ac:dyDescent="0.25">
      <c r="A22" s="7"/>
      <c r="B22" s="10"/>
      <c r="C22" s="10"/>
      <c r="D22" s="10"/>
      <c r="E22" s="14"/>
      <c r="F22" s="19">
        <f>IF(D22="Car or van",SUMIFS($E$6:E22,$D$6:D22,"Car or van"),"")</f>
      </c>
      <c r="G22" s="18">
        <f>IF(E22="","",IF(D22="Car or van",(MIN(F22,MileageCarThreshold)-MIN(F22-E22,MileageCarThreshold))*MileageCarFirst+(MAX(F22-MileageCarThreshold,0)-MAX(F22-E22-MileageCarThreshold,0))*MileageCarAfter,IF(D22="Motorcycle",E22*MileageMotorcycle,IF(D22="Bicycle",E22*MileageBicycle,0))))</f>
      </c>
    </row>
    <row r="23" spans="1:7" x14ac:dyDescent="0.25">
      <c r="A23" s="7"/>
      <c r="B23" s="10"/>
      <c r="C23" s="10"/>
      <c r="D23" s="10"/>
      <c r="E23" s="14"/>
      <c r="F23" s="19">
        <f>IF(D23="Car or van",SUMIFS($E$6:E23,$D$6:D23,"Car or van"),"")</f>
      </c>
      <c r="G23" s="18">
        <f>IF(E23="","",IF(D23="Car or van",(MIN(F23,MileageCarThreshold)-MIN(F23-E23,MileageCarThreshold))*MileageCarFirst+(MAX(F23-MileageCarThreshold,0)-MAX(F23-E23-MileageCarThreshold,0))*MileageCarAfter,IF(D23="Motorcycle",E23*MileageMotorcycle,IF(D23="Bicycle",E23*MileageBicycle,0))))</f>
      </c>
    </row>
    <row r="24" spans="1:7" x14ac:dyDescent="0.25">
      <c r="A24" s="7"/>
      <c r="B24" s="10"/>
      <c r="C24" s="10"/>
      <c r="D24" s="10"/>
      <c r="E24" s="14"/>
      <c r="F24" s="19">
        <f>IF(D24="Car or van",SUMIFS($E$6:E24,$D$6:D24,"Car or van"),"")</f>
      </c>
      <c r="G24" s="18">
        <f>IF(E24="","",IF(D24="Car or van",(MIN(F24,MileageCarThreshold)-MIN(F24-E24,MileageCarThreshold))*MileageCarFirst+(MAX(F24-MileageCarThreshold,0)-MAX(F24-E24-MileageCarThreshold,0))*MileageCarAfter,IF(D24="Motorcycle",E24*MileageMotorcycle,IF(D24="Bicycle",E24*MileageBicycle,0))))</f>
      </c>
    </row>
    <row r="25" spans="1:7" x14ac:dyDescent="0.25">
      <c r="A25" s="7"/>
      <c r="B25" s="10"/>
      <c r="C25" s="10"/>
      <c r="D25" s="10"/>
      <c r="E25" s="14"/>
      <c r="F25" s="19">
        <f>IF(D25="Car or van",SUMIFS($E$6:E25,$D$6:D25,"Car or van"),"")</f>
      </c>
      <c r="G25" s="18">
        <f>IF(E25="","",IF(D25="Car or van",(MIN(F25,MileageCarThreshold)-MIN(F25-E25,MileageCarThreshold))*MileageCarFirst+(MAX(F25-MileageCarThreshold,0)-MAX(F25-E25-MileageCarThreshold,0))*MileageCarAfter,IF(D25="Motorcycle",E25*MileageMotorcycle,IF(D25="Bicycle",E25*MileageBicycle,0))))</f>
      </c>
    </row>
    <row r="26" spans="1:7" x14ac:dyDescent="0.25">
      <c r="A26" s="7"/>
      <c r="B26" s="10"/>
      <c r="C26" s="10"/>
      <c r="D26" s="10"/>
      <c r="E26" s="14"/>
      <c r="F26" s="19">
        <f>IF(D26="Car or van",SUMIFS($E$6:E26,$D$6:D26,"Car or van"),"")</f>
      </c>
      <c r="G26" s="18">
        <f>IF(E26="","",IF(D26="Car or van",(MIN(F26,MileageCarThreshold)-MIN(F26-E26,MileageCarThreshold))*MileageCarFirst+(MAX(F26-MileageCarThreshold,0)-MAX(F26-E26-MileageCarThreshold,0))*MileageCarAfter,IF(D26="Motorcycle",E26*MileageMotorcycle,IF(D26="Bicycle",E26*MileageBicycle,0))))</f>
      </c>
    </row>
    <row r="27" spans="1:7" x14ac:dyDescent="0.25">
      <c r="A27" s="7"/>
      <c r="B27" s="10"/>
      <c r="C27" s="10"/>
      <c r="D27" s="10"/>
      <c r="E27" s="14"/>
      <c r="F27" s="19">
        <f>IF(D27="Car or van",SUMIFS($E$6:E27,$D$6:D27,"Car or van"),"")</f>
      </c>
      <c r="G27" s="18">
        <f>IF(E27="","",IF(D27="Car or van",(MIN(F27,MileageCarThreshold)-MIN(F27-E27,MileageCarThreshold))*MileageCarFirst+(MAX(F27-MileageCarThreshold,0)-MAX(F27-E27-MileageCarThreshold,0))*MileageCarAfter,IF(D27="Motorcycle",E27*MileageMotorcycle,IF(D27="Bicycle",E27*MileageBicycle,0))))</f>
      </c>
    </row>
    <row r="28" spans="1:7" x14ac:dyDescent="0.25">
      <c r="A28" s="7"/>
      <c r="B28" s="10"/>
      <c r="C28" s="10"/>
      <c r="D28" s="10"/>
      <c r="E28" s="14"/>
      <c r="F28" s="19">
        <f>IF(D28="Car or van",SUMIFS($E$6:E28,$D$6:D28,"Car or van"),"")</f>
      </c>
      <c r="G28" s="18">
        <f>IF(E28="","",IF(D28="Car or van",(MIN(F28,MileageCarThreshold)-MIN(F28-E28,MileageCarThreshold))*MileageCarFirst+(MAX(F28-MileageCarThreshold,0)-MAX(F28-E28-MileageCarThreshold,0))*MileageCarAfter,IF(D28="Motorcycle",E28*MileageMotorcycle,IF(D28="Bicycle",E28*MileageBicycle,0))))</f>
      </c>
    </row>
    <row r="29" spans="1:7" x14ac:dyDescent="0.25">
      <c r="A29" s="7"/>
      <c r="B29" s="10"/>
      <c r="C29" s="10"/>
      <c r="D29" s="10"/>
      <c r="E29" s="14"/>
      <c r="F29" s="19">
        <f>IF(D29="Car or van",SUMIFS($E$6:E29,$D$6:D29,"Car or van"),"")</f>
      </c>
      <c r="G29" s="18">
        <f>IF(E29="","",IF(D29="Car or van",(MIN(F29,MileageCarThreshold)-MIN(F29-E29,MileageCarThreshold))*MileageCarFirst+(MAX(F29-MileageCarThreshold,0)-MAX(F29-E29-MileageCarThreshold,0))*MileageCarAfter,IF(D29="Motorcycle",E29*MileageMotorcycle,IF(D29="Bicycle",E29*MileageBicycle,0))))</f>
      </c>
    </row>
    <row r="30" spans="1:7" x14ac:dyDescent="0.25">
      <c r="A30" s="7"/>
      <c r="B30" s="10"/>
      <c r="C30" s="10"/>
      <c r="D30" s="10"/>
      <c r="E30" s="14"/>
      <c r="F30" s="19">
        <f>IF(D30="Car or van",SUMIFS($E$6:E30,$D$6:D30,"Car or van"),"")</f>
      </c>
      <c r="G30" s="18">
        <f>IF(E30="","",IF(D30="Car or van",(MIN(F30,MileageCarThreshold)-MIN(F30-E30,MileageCarThreshold))*MileageCarFirst+(MAX(F30-MileageCarThreshold,0)-MAX(F30-E30-MileageCarThreshold,0))*MileageCarAfter,IF(D30="Motorcycle",E30*MileageMotorcycle,IF(D30="Bicycle",E30*MileageBicycle,0))))</f>
      </c>
    </row>
    <row r="31" spans="1:7" x14ac:dyDescent="0.25">
      <c r="A31" s="7"/>
      <c r="B31" s="10"/>
      <c r="C31" s="10"/>
      <c r="D31" s="10"/>
      <c r="E31" s="14"/>
      <c r="F31" s="19">
        <f>IF(D31="Car or van",SUMIFS($E$6:E31,$D$6:D31,"Car or van"),"")</f>
      </c>
      <c r="G31" s="18">
        <f>IF(E31="","",IF(D31="Car or van",(MIN(F31,MileageCarThreshold)-MIN(F31-E31,MileageCarThreshold))*MileageCarFirst+(MAX(F31-MileageCarThreshold,0)-MAX(F31-E31-MileageCarThreshold,0))*MileageCarAfter,IF(D31="Motorcycle",E31*MileageMotorcycle,IF(D31="Bicycle",E31*MileageBicycle,0))))</f>
      </c>
    </row>
    <row r="32" spans="1:7" x14ac:dyDescent="0.25">
      <c r="A32" s="7"/>
      <c r="B32" s="10"/>
      <c r="C32" s="10"/>
      <c r="D32" s="10"/>
      <c r="E32" s="14"/>
      <c r="F32" s="19">
        <f>IF(D32="Car or van",SUMIFS($E$6:E32,$D$6:D32,"Car or van"),"")</f>
      </c>
      <c r="G32" s="18">
        <f>IF(E32="","",IF(D32="Car or van",(MIN(F32,MileageCarThreshold)-MIN(F32-E32,MileageCarThreshold))*MileageCarFirst+(MAX(F32-MileageCarThreshold,0)-MAX(F32-E32-MileageCarThreshold,0))*MileageCarAfter,IF(D32="Motorcycle",E32*MileageMotorcycle,IF(D32="Bicycle",E32*MileageBicycle,0))))</f>
      </c>
    </row>
    <row r="33" spans="1:7" x14ac:dyDescent="0.25">
      <c r="A33" s="7"/>
      <c r="B33" s="10"/>
      <c r="C33" s="10"/>
      <c r="D33" s="10"/>
      <c r="E33" s="14"/>
      <c r="F33" s="19">
        <f>IF(D33="Car or van",SUMIFS($E$6:E33,$D$6:D33,"Car or van"),"")</f>
      </c>
      <c r="G33" s="18">
        <f>IF(E33="","",IF(D33="Car or van",(MIN(F33,MileageCarThreshold)-MIN(F33-E33,MileageCarThreshold))*MileageCarFirst+(MAX(F33-MileageCarThreshold,0)-MAX(F33-E33-MileageCarThreshold,0))*MileageCarAfter,IF(D33="Motorcycle",E33*MileageMotorcycle,IF(D33="Bicycle",E33*MileageBicycle,0))))</f>
      </c>
    </row>
    <row r="34" spans="1:7" x14ac:dyDescent="0.25">
      <c r="A34" s="7"/>
      <c r="B34" s="10"/>
      <c r="C34" s="10"/>
      <c r="D34" s="10"/>
      <c r="E34" s="14"/>
      <c r="F34" s="19">
        <f>IF(D34="Car or van",SUMIFS($E$6:E34,$D$6:D34,"Car or van"),"")</f>
      </c>
      <c r="G34" s="18">
        <f>IF(E34="","",IF(D34="Car or van",(MIN(F34,MileageCarThreshold)-MIN(F34-E34,MileageCarThreshold))*MileageCarFirst+(MAX(F34-MileageCarThreshold,0)-MAX(F34-E34-MileageCarThreshold,0))*MileageCarAfter,IF(D34="Motorcycle",E34*MileageMotorcycle,IF(D34="Bicycle",E34*MileageBicycle,0))))</f>
      </c>
    </row>
    <row r="35" spans="1:7" x14ac:dyDescent="0.25">
      <c r="A35" s="7"/>
      <c r="B35" s="10"/>
      <c r="C35" s="10"/>
      <c r="D35" s="10"/>
      <c r="E35" s="14"/>
      <c r="F35" s="19">
        <f>IF(D35="Car or van",SUMIFS($E$6:E35,$D$6:D35,"Car or van"),"")</f>
      </c>
      <c r="G35" s="18">
        <f>IF(E35="","",IF(D35="Car or van",(MIN(F35,MileageCarThreshold)-MIN(F35-E35,MileageCarThreshold))*MileageCarFirst+(MAX(F35-MileageCarThreshold,0)-MAX(F35-E35-MileageCarThreshold,0))*MileageCarAfter,IF(D35="Motorcycle",E35*MileageMotorcycle,IF(D35="Bicycle",E35*MileageBicycle,0))))</f>
      </c>
    </row>
    <row r="36" spans="1:7" x14ac:dyDescent="0.25">
      <c r="A36" s="7"/>
      <c r="B36" s="10"/>
      <c r="C36" s="10"/>
      <c r="D36" s="10"/>
      <c r="E36" s="14"/>
      <c r="F36" s="19">
        <f>IF(D36="Car or van",SUMIFS($E$6:E36,$D$6:D36,"Car or van"),"")</f>
      </c>
      <c r="G36" s="18">
        <f>IF(E36="","",IF(D36="Car or van",(MIN(F36,MileageCarThreshold)-MIN(F36-E36,MileageCarThreshold))*MileageCarFirst+(MAX(F36-MileageCarThreshold,0)-MAX(F36-E36-MileageCarThreshold,0))*MileageCarAfter,IF(D36="Motorcycle",E36*MileageMotorcycle,IF(D36="Bicycle",E36*MileageBicycle,0))))</f>
      </c>
    </row>
    <row r="37" spans="1:7" x14ac:dyDescent="0.25">
      <c r="A37" s="7"/>
      <c r="B37" s="10"/>
      <c r="C37" s="10"/>
      <c r="D37" s="10"/>
      <c r="E37" s="14"/>
      <c r="F37" s="19">
        <f>IF(D37="Car or van",SUMIFS($E$6:E37,$D$6:D37,"Car or van"),"")</f>
      </c>
      <c r="G37" s="18">
        <f>IF(E37="","",IF(D37="Car or van",(MIN(F37,MileageCarThreshold)-MIN(F37-E37,MileageCarThreshold))*MileageCarFirst+(MAX(F37-MileageCarThreshold,0)-MAX(F37-E37-MileageCarThreshold,0))*MileageCarAfter,IF(D37="Motorcycle",E37*MileageMotorcycle,IF(D37="Bicycle",E37*MileageBicycle,0))))</f>
      </c>
    </row>
    <row r="38" spans="1:7" x14ac:dyDescent="0.25">
      <c r="A38" s="7"/>
      <c r="B38" s="10"/>
      <c r="C38" s="10"/>
      <c r="D38" s="10"/>
      <c r="E38" s="14"/>
      <c r="F38" s="19">
        <f>IF(D38="Car or van",SUMIFS($E$6:E38,$D$6:D38,"Car or van"),"")</f>
      </c>
      <c r="G38" s="18">
        <f>IF(E38="","",IF(D38="Car or van",(MIN(F38,MileageCarThreshold)-MIN(F38-E38,MileageCarThreshold))*MileageCarFirst+(MAX(F38-MileageCarThreshold,0)-MAX(F38-E38-MileageCarThreshold,0))*MileageCarAfter,IF(D38="Motorcycle",E38*MileageMotorcycle,IF(D38="Bicycle",E38*MileageBicycle,0))))</f>
      </c>
    </row>
    <row r="39" spans="1:7" x14ac:dyDescent="0.25">
      <c r="A39" s="7"/>
      <c r="B39" s="10"/>
      <c r="C39" s="10"/>
      <c r="D39" s="10"/>
      <c r="E39" s="14"/>
      <c r="F39" s="19">
        <f>IF(D39="Car or van",SUMIFS($E$6:E39,$D$6:D39,"Car or van"),"")</f>
      </c>
      <c r="G39" s="18">
        <f>IF(E39="","",IF(D39="Car or van",(MIN(F39,MileageCarThreshold)-MIN(F39-E39,MileageCarThreshold))*MileageCarFirst+(MAX(F39-MileageCarThreshold,0)-MAX(F39-E39-MileageCarThreshold,0))*MileageCarAfter,IF(D39="Motorcycle",E39*MileageMotorcycle,IF(D39="Bicycle",E39*MileageBicycle,0))))</f>
      </c>
    </row>
    <row r="40" spans="1:7" x14ac:dyDescent="0.25">
      <c r="A40" s="7"/>
      <c r="B40" s="10"/>
      <c r="C40" s="10"/>
      <c r="D40" s="10"/>
      <c r="E40" s="14"/>
      <c r="F40" s="19">
        <f>IF(D40="Car or van",SUMIFS($E$6:E40,$D$6:D40,"Car or van"),"")</f>
      </c>
      <c r="G40" s="18">
        <f>IF(E40="","",IF(D40="Car or van",(MIN(F40,MileageCarThreshold)-MIN(F40-E40,MileageCarThreshold))*MileageCarFirst+(MAX(F40-MileageCarThreshold,0)-MAX(F40-E40-MileageCarThreshold,0))*MileageCarAfter,IF(D40="Motorcycle",E40*MileageMotorcycle,IF(D40="Bicycle",E40*MileageBicycle,0))))</f>
      </c>
    </row>
    <row r="41" spans="1:7" x14ac:dyDescent="0.25">
      <c r="A41" s="7"/>
      <c r="B41" s="10"/>
      <c r="C41" s="10"/>
      <c r="D41" s="10"/>
      <c r="E41" s="14"/>
      <c r="F41" s="19">
        <f>IF(D41="Car or van",SUMIFS($E$6:E41,$D$6:D41,"Car or van"),"")</f>
      </c>
      <c r="G41" s="18">
        <f>IF(E41="","",IF(D41="Car or van",(MIN(F41,MileageCarThreshold)-MIN(F41-E41,MileageCarThreshold))*MileageCarFirst+(MAX(F41-MileageCarThreshold,0)-MAX(F41-E41-MileageCarThreshold,0))*MileageCarAfter,IF(D41="Motorcycle",E41*MileageMotorcycle,IF(D41="Bicycle",E41*MileageBicycle,0))))</f>
      </c>
    </row>
    <row r="42" spans="1:7" x14ac:dyDescent="0.25">
      <c r="A42" s="7"/>
      <c r="B42" s="10"/>
      <c r="C42" s="10"/>
      <c r="D42" s="10"/>
      <c r="E42" s="14"/>
      <c r="F42" s="19">
        <f>IF(D42="Car or van",SUMIFS($E$6:E42,$D$6:D42,"Car or van"),"")</f>
      </c>
      <c r="G42" s="18">
        <f>IF(E42="","",IF(D42="Car or van",(MIN(F42,MileageCarThreshold)-MIN(F42-E42,MileageCarThreshold))*MileageCarFirst+(MAX(F42-MileageCarThreshold,0)-MAX(F42-E42-MileageCarThreshold,0))*MileageCarAfter,IF(D42="Motorcycle",E42*MileageMotorcycle,IF(D42="Bicycle",E42*MileageBicycle,0))))</f>
      </c>
    </row>
    <row r="43" spans="1:7" x14ac:dyDescent="0.25">
      <c r="A43" s="7"/>
      <c r="B43" s="10"/>
      <c r="C43" s="10"/>
      <c r="D43" s="10"/>
      <c r="E43" s="14"/>
      <c r="F43" s="19">
        <f>IF(D43="Car or van",SUMIFS($E$6:E43,$D$6:D43,"Car or van"),"")</f>
      </c>
      <c r="G43" s="18">
        <f>IF(E43="","",IF(D43="Car or van",(MIN(F43,MileageCarThreshold)-MIN(F43-E43,MileageCarThreshold))*MileageCarFirst+(MAX(F43-MileageCarThreshold,0)-MAX(F43-E43-MileageCarThreshold,0))*MileageCarAfter,IF(D43="Motorcycle",E43*MileageMotorcycle,IF(D43="Bicycle",E43*MileageBicycle,0))))</f>
      </c>
    </row>
    <row r="44" spans="1:7" x14ac:dyDescent="0.25">
      <c r="A44" s="7"/>
      <c r="B44" s="10"/>
      <c r="C44" s="10"/>
      <c r="D44" s="10"/>
      <c r="E44" s="14"/>
      <c r="F44" s="19">
        <f>IF(D44="Car or van",SUMIFS($E$6:E44,$D$6:D44,"Car or van"),"")</f>
      </c>
      <c r="G44" s="18">
        <f>IF(E44="","",IF(D44="Car or van",(MIN(F44,MileageCarThreshold)-MIN(F44-E44,MileageCarThreshold))*MileageCarFirst+(MAX(F44-MileageCarThreshold,0)-MAX(F44-E44-MileageCarThreshold,0))*MileageCarAfter,IF(D44="Motorcycle",E44*MileageMotorcycle,IF(D44="Bicycle",E44*MileageBicycle,0))))</f>
      </c>
    </row>
    <row r="45" spans="1:7" x14ac:dyDescent="0.25">
      <c r="A45" s="7"/>
      <c r="B45" s="10"/>
      <c r="C45" s="10"/>
      <c r="D45" s="10"/>
      <c r="E45" s="14"/>
      <c r="F45" s="19">
        <f>IF(D45="Car or van",SUMIFS($E$6:E45,$D$6:D45,"Car or van"),"")</f>
      </c>
      <c r="G45" s="18">
        <f>IF(E45="","",IF(D45="Car or van",(MIN(F45,MileageCarThreshold)-MIN(F45-E45,MileageCarThreshold))*MileageCarFirst+(MAX(F45-MileageCarThreshold,0)-MAX(F45-E45-MileageCarThreshold,0))*MileageCarAfter,IF(D45="Motorcycle",E45*MileageMotorcycle,IF(D45="Bicycle",E45*MileageBicycle,0))))</f>
      </c>
    </row>
    <row r="46" spans="1:7" x14ac:dyDescent="0.25">
      <c r="A46" s="7"/>
      <c r="B46" s="10"/>
      <c r="C46" s="10"/>
      <c r="D46" s="10"/>
      <c r="E46" s="14"/>
      <c r="F46" s="19">
        <f>IF(D46="Car or van",SUMIFS($E$6:E46,$D$6:D46,"Car or van"),"")</f>
      </c>
      <c r="G46" s="18">
        <f>IF(E46="","",IF(D46="Car or van",(MIN(F46,MileageCarThreshold)-MIN(F46-E46,MileageCarThreshold))*MileageCarFirst+(MAX(F46-MileageCarThreshold,0)-MAX(F46-E46-MileageCarThreshold,0))*MileageCarAfter,IF(D46="Motorcycle",E46*MileageMotorcycle,IF(D46="Bicycle",E46*MileageBicycle,0))))</f>
      </c>
    </row>
    <row r="47" spans="1:7" x14ac:dyDescent="0.25">
      <c r="A47" s="7"/>
      <c r="B47" s="10"/>
      <c r="C47" s="10"/>
      <c r="D47" s="10"/>
      <c r="E47" s="14"/>
      <c r="F47" s="19">
        <f>IF(D47="Car or van",SUMIFS($E$6:E47,$D$6:D47,"Car or van"),"")</f>
      </c>
      <c r="G47" s="18">
        <f>IF(E47="","",IF(D47="Car or van",(MIN(F47,MileageCarThreshold)-MIN(F47-E47,MileageCarThreshold))*MileageCarFirst+(MAX(F47-MileageCarThreshold,0)-MAX(F47-E47-MileageCarThreshold,0))*MileageCarAfter,IF(D47="Motorcycle",E47*MileageMotorcycle,IF(D47="Bicycle",E47*MileageBicycle,0))))</f>
      </c>
    </row>
    <row r="48" spans="1:7" x14ac:dyDescent="0.25">
      <c r="A48" s="7"/>
      <c r="B48" s="10"/>
      <c r="C48" s="10"/>
      <c r="D48" s="10"/>
      <c r="E48" s="14"/>
      <c r="F48" s="19">
        <f>IF(D48="Car or van",SUMIFS($E$6:E48,$D$6:D48,"Car or van"),"")</f>
      </c>
      <c r="G48" s="18">
        <f>IF(E48="","",IF(D48="Car or van",(MIN(F48,MileageCarThreshold)-MIN(F48-E48,MileageCarThreshold))*MileageCarFirst+(MAX(F48-MileageCarThreshold,0)-MAX(F48-E48-MileageCarThreshold,0))*MileageCarAfter,IF(D48="Motorcycle",E48*MileageMotorcycle,IF(D48="Bicycle",E48*MileageBicycle,0))))</f>
      </c>
    </row>
    <row r="49" spans="1:7" x14ac:dyDescent="0.25">
      <c r="A49" s="7"/>
      <c r="B49" s="10"/>
      <c r="C49" s="10"/>
      <c r="D49" s="10"/>
      <c r="E49" s="14"/>
      <c r="F49" s="19">
        <f>IF(D49="Car or van",SUMIFS($E$6:E49,$D$6:D49,"Car or van"),"")</f>
      </c>
      <c r="G49" s="18">
        <f>IF(E49="","",IF(D49="Car or van",(MIN(F49,MileageCarThreshold)-MIN(F49-E49,MileageCarThreshold))*MileageCarFirst+(MAX(F49-MileageCarThreshold,0)-MAX(F49-E49-MileageCarThreshold,0))*MileageCarAfter,IF(D49="Motorcycle",E49*MileageMotorcycle,IF(D49="Bicycle",E49*MileageBicycle,0))))</f>
      </c>
    </row>
    <row r="50" spans="1:7" x14ac:dyDescent="0.25">
      <c r="A50" s="7"/>
      <c r="B50" s="10"/>
      <c r="C50" s="10"/>
      <c r="D50" s="10"/>
      <c r="E50" s="14"/>
      <c r="F50" s="19">
        <f>IF(D50="Car or van",SUMIFS($E$6:E50,$D$6:D50,"Car or van"),"")</f>
      </c>
      <c r="G50" s="18">
        <f>IF(E50="","",IF(D50="Car or van",(MIN(F50,MileageCarThreshold)-MIN(F50-E50,MileageCarThreshold))*MileageCarFirst+(MAX(F50-MileageCarThreshold,0)-MAX(F50-E50-MileageCarThreshold,0))*MileageCarAfter,IF(D50="Motorcycle",E50*MileageMotorcycle,IF(D50="Bicycle",E50*MileageBicycle,0))))</f>
      </c>
    </row>
    <row r="51" spans="1:7" x14ac:dyDescent="0.25">
      <c r="A51" s="7"/>
      <c r="B51" s="10"/>
      <c r="C51" s="10"/>
      <c r="D51" s="10"/>
      <c r="E51" s="14"/>
      <c r="F51" s="19">
        <f>IF(D51="Car or van",SUMIFS($E$6:E51,$D$6:D51,"Car or van"),"")</f>
      </c>
      <c r="G51" s="18">
        <f>IF(E51="","",IF(D51="Car or van",(MIN(F51,MileageCarThreshold)-MIN(F51-E51,MileageCarThreshold))*MileageCarFirst+(MAX(F51-MileageCarThreshold,0)-MAX(F51-E51-MileageCarThreshold,0))*MileageCarAfter,IF(D51="Motorcycle",E51*MileageMotorcycle,IF(D51="Bicycle",E51*MileageBicycle,0))))</f>
      </c>
    </row>
    <row r="52" spans="1:7" x14ac:dyDescent="0.25">
      <c r="A52" s="7"/>
      <c r="B52" s="10"/>
      <c r="C52" s="10"/>
      <c r="D52" s="10"/>
      <c r="E52" s="14"/>
      <c r="F52" s="19">
        <f>IF(D52="Car or van",SUMIFS($E$6:E52,$D$6:D52,"Car or van"),"")</f>
      </c>
      <c r="G52" s="18">
        <f>IF(E52="","",IF(D52="Car or van",(MIN(F52,MileageCarThreshold)-MIN(F52-E52,MileageCarThreshold))*MileageCarFirst+(MAX(F52-MileageCarThreshold,0)-MAX(F52-E52-MileageCarThreshold,0))*MileageCarAfter,IF(D52="Motorcycle",E52*MileageMotorcycle,IF(D52="Bicycle",E52*MileageBicycle,0))))</f>
      </c>
    </row>
    <row r="53" spans="1:7" x14ac:dyDescent="0.25">
      <c r="A53" s="7"/>
      <c r="B53" s="10"/>
      <c r="C53" s="10"/>
      <c r="D53" s="10"/>
      <c r="E53" s="14"/>
      <c r="F53" s="19">
        <f>IF(D53="Car or van",SUMIFS($E$6:E53,$D$6:D53,"Car or van"),"")</f>
      </c>
      <c r="G53" s="18">
        <f>IF(E53="","",IF(D53="Car or van",(MIN(F53,MileageCarThreshold)-MIN(F53-E53,MileageCarThreshold))*MileageCarFirst+(MAX(F53-MileageCarThreshold,0)-MAX(F53-E53-MileageCarThreshold,0))*MileageCarAfter,IF(D53="Motorcycle",E53*MileageMotorcycle,IF(D53="Bicycle",E53*MileageBicycle,0))))</f>
      </c>
    </row>
    <row r="54" spans="1:7" x14ac:dyDescent="0.25">
      <c r="A54" s="7"/>
      <c r="B54" s="10"/>
      <c r="C54" s="10"/>
      <c r="D54" s="10"/>
      <c r="E54" s="14"/>
      <c r="F54" s="19">
        <f>IF(D54="Car or van",SUMIFS($E$6:E54,$D$6:D54,"Car or van"),"")</f>
      </c>
      <c r="G54" s="18">
        <f>IF(E54="","",IF(D54="Car or van",(MIN(F54,MileageCarThreshold)-MIN(F54-E54,MileageCarThreshold))*MileageCarFirst+(MAX(F54-MileageCarThreshold,0)-MAX(F54-E54-MileageCarThreshold,0))*MileageCarAfter,IF(D54="Motorcycle",E54*MileageMotorcycle,IF(D54="Bicycle",E54*MileageBicycle,0))))</f>
      </c>
    </row>
    <row r="55" spans="1:7" x14ac:dyDescent="0.25">
      <c r="A55" s="7"/>
      <c r="B55" s="10"/>
      <c r="C55" s="10"/>
      <c r="D55" s="10"/>
      <c r="E55" s="14"/>
      <c r="F55" s="19">
        <f>IF(D55="Car or van",SUMIFS($E$6:E55,$D$6:D55,"Car or van"),"")</f>
      </c>
      <c r="G55" s="18">
        <f>IF(E55="","",IF(D55="Car or van",(MIN(F55,MileageCarThreshold)-MIN(F55-E55,MileageCarThreshold))*MileageCarFirst+(MAX(F55-MileageCarThreshold,0)-MAX(F55-E55-MileageCarThreshold,0))*MileageCarAfter,IF(D55="Motorcycle",E55*MileageMotorcycle,IF(D55="Bicycle",E55*MileageBicycle,0))))</f>
      </c>
    </row>
    <row r="56" spans="1:7" x14ac:dyDescent="0.25">
      <c r="A56" s="7"/>
      <c r="B56" s="10"/>
      <c r="C56" s="10"/>
      <c r="D56" s="10"/>
      <c r="E56" s="14"/>
      <c r="F56" s="19">
        <f>IF(D56="Car or van",SUMIFS($E$6:E56,$D$6:D56,"Car or van"),"")</f>
      </c>
      <c r="G56" s="18">
        <f>IF(E56="","",IF(D56="Car or van",(MIN(F56,MileageCarThreshold)-MIN(F56-E56,MileageCarThreshold))*MileageCarFirst+(MAX(F56-MileageCarThreshold,0)-MAX(F56-E56-MileageCarThreshold,0))*MileageCarAfter,IF(D56="Motorcycle",E56*MileageMotorcycle,IF(D56="Bicycle",E56*MileageBicycle,0))))</f>
      </c>
    </row>
    <row r="57" spans="1:7" x14ac:dyDescent="0.25">
      <c r="A57" s="7"/>
      <c r="B57" s="10"/>
      <c r="C57" s="10"/>
      <c r="D57" s="10"/>
      <c r="E57" s="14"/>
      <c r="F57" s="19">
        <f>IF(D57="Car or van",SUMIFS($E$6:E57,$D$6:D57,"Car or van"),"")</f>
      </c>
      <c r="G57" s="18">
        <f>IF(E57="","",IF(D57="Car or van",(MIN(F57,MileageCarThreshold)-MIN(F57-E57,MileageCarThreshold))*MileageCarFirst+(MAX(F57-MileageCarThreshold,0)-MAX(F57-E57-MileageCarThreshold,0))*MileageCarAfter,IF(D57="Motorcycle",E57*MileageMotorcycle,IF(D57="Bicycle",E57*MileageBicycle,0))))</f>
      </c>
    </row>
    <row r="58" spans="1:7" x14ac:dyDescent="0.25">
      <c r="A58" s="7"/>
      <c r="B58" s="10"/>
      <c r="C58" s="10"/>
      <c r="D58" s="10"/>
      <c r="E58" s="14"/>
      <c r="F58" s="19">
        <f>IF(D58="Car or van",SUMIFS($E$6:E58,$D$6:D58,"Car or van"),"")</f>
      </c>
      <c r="G58" s="18">
        <f>IF(E58="","",IF(D58="Car or van",(MIN(F58,MileageCarThreshold)-MIN(F58-E58,MileageCarThreshold))*MileageCarFirst+(MAX(F58-MileageCarThreshold,0)-MAX(F58-E58-MileageCarThreshold,0))*MileageCarAfter,IF(D58="Motorcycle",E58*MileageMotorcycle,IF(D58="Bicycle",E58*MileageBicycle,0))))</f>
      </c>
    </row>
    <row r="59" spans="1:7" x14ac:dyDescent="0.25">
      <c r="A59" s="7"/>
      <c r="B59" s="10"/>
      <c r="C59" s="10"/>
      <c r="D59" s="10"/>
      <c r="E59" s="14"/>
      <c r="F59" s="19">
        <f>IF(D59="Car or van",SUMIFS($E$6:E59,$D$6:D59,"Car or van"),"")</f>
      </c>
      <c r="G59" s="18">
        <f>IF(E59="","",IF(D59="Car or van",(MIN(F59,MileageCarThreshold)-MIN(F59-E59,MileageCarThreshold))*MileageCarFirst+(MAX(F59-MileageCarThreshold,0)-MAX(F59-E59-MileageCarThreshold,0))*MileageCarAfter,IF(D59="Motorcycle",E59*MileageMotorcycle,IF(D59="Bicycle",E59*MileageBicycle,0))))</f>
      </c>
    </row>
    <row r="60" spans="1:7" x14ac:dyDescent="0.25">
      <c r="A60" s="7"/>
      <c r="B60" s="10"/>
      <c r="C60" s="10"/>
      <c r="D60" s="10"/>
      <c r="E60" s="14"/>
      <c r="F60" s="19">
        <f>IF(D60="Car or van",SUMIFS($E$6:E60,$D$6:D60,"Car or van"),"")</f>
      </c>
      <c r="G60" s="18">
        <f>IF(E60="","",IF(D60="Car or van",(MIN(F60,MileageCarThreshold)-MIN(F60-E60,MileageCarThreshold))*MileageCarFirst+(MAX(F60-MileageCarThreshold,0)-MAX(F60-E60-MileageCarThreshold,0))*MileageCarAfter,IF(D60="Motorcycle",E60*MileageMotorcycle,IF(D60="Bicycle",E60*MileageBicycle,0))))</f>
      </c>
    </row>
    <row r="61" spans="1:7" x14ac:dyDescent="0.25">
      <c r="A61" s="7"/>
      <c r="B61" s="10"/>
      <c r="C61" s="10"/>
      <c r="D61" s="10"/>
      <c r="E61" s="14"/>
      <c r="F61" s="19">
        <f>IF(D61="Car or van",SUMIFS($E$6:E61,$D$6:D61,"Car or van"),"")</f>
      </c>
      <c r="G61" s="18">
        <f>IF(E61="","",IF(D61="Car or van",(MIN(F61,MileageCarThreshold)-MIN(F61-E61,MileageCarThreshold))*MileageCarFirst+(MAX(F61-MileageCarThreshold,0)-MAX(F61-E61-MileageCarThreshold,0))*MileageCarAfter,IF(D61="Motorcycle",E61*MileageMotorcycle,IF(D61="Bicycle",E61*MileageBicycle,0))))</f>
      </c>
    </row>
    <row r="62" spans="1:7" x14ac:dyDescent="0.25">
      <c r="A62" s="7"/>
      <c r="B62" s="10"/>
      <c r="C62" s="10"/>
      <c r="D62" s="10"/>
      <c r="E62" s="14"/>
      <c r="F62" s="19">
        <f>IF(D62="Car or van",SUMIFS($E$6:E62,$D$6:D62,"Car or van"),"")</f>
      </c>
      <c r="G62" s="18">
        <f>IF(E62="","",IF(D62="Car or van",(MIN(F62,MileageCarThreshold)-MIN(F62-E62,MileageCarThreshold))*MileageCarFirst+(MAX(F62-MileageCarThreshold,0)-MAX(F62-E62-MileageCarThreshold,0))*MileageCarAfter,IF(D62="Motorcycle",E62*MileageMotorcycle,IF(D62="Bicycle",E62*MileageBicycle,0))))</f>
      </c>
    </row>
    <row r="63" spans="1:7" x14ac:dyDescent="0.25">
      <c r="A63" s="7"/>
      <c r="B63" s="10"/>
      <c r="C63" s="10"/>
      <c r="D63" s="10"/>
      <c r="E63" s="14"/>
      <c r="F63" s="19">
        <f>IF(D63="Car or van",SUMIFS($E$6:E63,$D$6:D63,"Car or van"),"")</f>
      </c>
      <c r="G63" s="18">
        <f>IF(E63="","",IF(D63="Car or van",(MIN(F63,MileageCarThreshold)-MIN(F63-E63,MileageCarThreshold))*MileageCarFirst+(MAX(F63-MileageCarThreshold,0)-MAX(F63-E63-MileageCarThreshold,0))*MileageCarAfter,IF(D63="Motorcycle",E63*MileageMotorcycle,IF(D63="Bicycle",E63*MileageBicycle,0))))</f>
      </c>
    </row>
    <row r="64" spans="1:7" x14ac:dyDescent="0.25">
      <c r="A64" s="7"/>
      <c r="B64" s="10"/>
      <c r="C64" s="10"/>
      <c r="D64" s="10"/>
      <c r="E64" s="14"/>
      <c r="F64" s="19">
        <f>IF(D64="Car or van",SUMIFS($E$6:E64,$D$6:D64,"Car or van"),"")</f>
      </c>
      <c r="G64" s="18">
        <f>IF(E64="","",IF(D64="Car or van",(MIN(F64,MileageCarThreshold)-MIN(F64-E64,MileageCarThreshold))*MileageCarFirst+(MAX(F64-MileageCarThreshold,0)-MAX(F64-E64-MileageCarThreshold,0))*MileageCarAfter,IF(D64="Motorcycle",E64*MileageMotorcycle,IF(D64="Bicycle",E64*MileageBicycle,0))))</f>
      </c>
    </row>
    <row r="65" spans="1:7" x14ac:dyDescent="0.25">
      <c r="A65" s="7"/>
      <c r="B65" s="10"/>
      <c r="C65" s="10"/>
      <c r="D65" s="10"/>
      <c r="E65" s="14"/>
      <c r="F65" s="19">
        <f>IF(D65="Car or van",SUMIFS($E$6:E65,$D$6:D65,"Car or van"),"")</f>
      </c>
      <c r="G65" s="18">
        <f>IF(E65="","",IF(D65="Car or van",(MIN(F65,MileageCarThreshold)-MIN(F65-E65,MileageCarThreshold))*MileageCarFirst+(MAX(F65-MileageCarThreshold,0)-MAX(F65-E65-MileageCarThreshold,0))*MileageCarAfter,IF(D65="Motorcycle",E65*MileageMotorcycle,IF(D65="Bicycle",E65*MileageBicycle,0))))</f>
      </c>
    </row>
    <row r="66" spans="1:7" x14ac:dyDescent="0.25">
      <c r="A66" s="7"/>
      <c r="B66" s="10"/>
      <c r="C66" s="10"/>
      <c r="D66" s="10"/>
      <c r="E66" s="14"/>
      <c r="F66" s="19">
        <f>IF(D66="Car or van",SUMIFS($E$6:E66,$D$6:D66,"Car or van"),"")</f>
      </c>
      <c r="G66" s="18">
        <f>IF(E66="","",IF(D66="Car or van",(MIN(F66,MileageCarThreshold)-MIN(F66-E66,MileageCarThreshold))*MileageCarFirst+(MAX(F66-MileageCarThreshold,0)-MAX(F66-E66-MileageCarThreshold,0))*MileageCarAfter,IF(D66="Motorcycle",E66*MileageMotorcycle,IF(D66="Bicycle",E66*MileageBicycle,0))))</f>
      </c>
    </row>
    <row r="67" spans="1:7" x14ac:dyDescent="0.25">
      <c r="A67" s="7"/>
      <c r="B67" s="10"/>
      <c r="C67" s="10"/>
      <c r="D67" s="10"/>
      <c r="E67" s="14"/>
      <c r="F67" s="19">
        <f>IF(D67="Car or van",SUMIFS($E$6:E67,$D$6:D67,"Car or van"),"")</f>
      </c>
      <c r="G67" s="18">
        <f>IF(E67="","",IF(D67="Car or van",(MIN(F67,MileageCarThreshold)-MIN(F67-E67,MileageCarThreshold))*MileageCarFirst+(MAX(F67-MileageCarThreshold,0)-MAX(F67-E67-MileageCarThreshold,0))*MileageCarAfter,IF(D67="Motorcycle",E67*MileageMotorcycle,IF(D67="Bicycle",E67*MileageBicycle,0))))</f>
      </c>
    </row>
    <row r="68" spans="1:7" x14ac:dyDescent="0.25">
      <c r="A68" s="7"/>
      <c r="B68" s="10"/>
      <c r="C68" s="10"/>
      <c r="D68" s="10"/>
      <c r="E68" s="14"/>
      <c r="F68" s="19">
        <f>IF(D68="Car or van",SUMIFS($E$6:E68,$D$6:D68,"Car or van"),"")</f>
      </c>
      <c r="G68" s="18">
        <f>IF(E68="","",IF(D68="Car or van",(MIN(F68,MileageCarThreshold)-MIN(F68-E68,MileageCarThreshold))*MileageCarFirst+(MAX(F68-MileageCarThreshold,0)-MAX(F68-E68-MileageCarThreshold,0))*MileageCarAfter,IF(D68="Motorcycle",E68*MileageMotorcycle,IF(D68="Bicycle",E68*MileageBicycle,0))))</f>
      </c>
    </row>
    <row r="69" spans="1:7" x14ac:dyDescent="0.25">
      <c r="A69" s="7"/>
      <c r="B69" s="10"/>
      <c r="C69" s="10"/>
      <c r="D69" s="10"/>
      <c r="E69" s="14"/>
      <c r="F69" s="19">
        <f>IF(D69="Car or van",SUMIFS($E$6:E69,$D$6:D69,"Car or van"),"")</f>
      </c>
      <c r="G69" s="18">
        <f>IF(E69="","",IF(D69="Car or van",(MIN(F69,MileageCarThreshold)-MIN(F69-E69,MileageCarThreshold))*MileageCarFirst+(MAX(F69-MileageCarThreshold,0)-MAX(F69-E69-MileageCarThreshold,0))*MileageCarAfter,IF(D69="Motorcycle",E69*MileageMotorcycle,IF(D69="Bicycle",E69*MileageBicycle,0))))</f>
      </c>
    </row>
    <row r="70" spans="1:7" x14ac:dyDescent="0.25">
      <c r="A70" s="7"/>
      <c r="B70" s="10"/>
      <c r="C70" s="10"/>
      <c r="D70" s="10"/>
      <c r="E70" s="14"/>
      <c r="F70" s="19">
        <f>IF(D70="Car or van",SUMIFS($E$6:E70,$D$6:D70,"Car or van"),"")</f>
      </c>
      <c r="G70" s="18">
        <f>IF(E70="","",IF(D70="Car or van",(MIN(F70,MileageCarThreshold)-MIN(F70-E70,MileageCarThreshold))*MileageCarFirst+(MAX(F70-MileageCarThreshold,0)-MAX(F70-E70-MileageCarThreshold,0))*MileageCarAfter,IF(D70="Motorcycle",E70*MileageMotorcycle,IF(D70="Bicycle",E70*MileageBicycle,0))))</f>
      </c>
    </row>
    <row r="71" spans="1:7" x14ac:dyDescent="0.25">
      <c r="A71" s="7"/>
      <c r="B71" s="10"/>
      <c r="C71" s="10"/>
      <c r="D71" s="10"/>
      <c r="E71" s="14"/>
      <c r="F71" s="19">
        <f>IF(D71="Car or van",SUMIFS($E$6:E71,$D$6:D71,"Car or van"),"")</f>
      </c>
      <c r="G71" s="18">
        <f>IF(E71="","",IF(D71="Car or van",(MIN(F71,MileageCarThreshold)-MIN(F71-E71,MileageCarThreshold))*MileageCarFirst+(MAX(F71-MileageCarThreshold,0)-MAX(F71-E71-MileageCarThreshold,0))*MileageCarAfter,IF(D71="Motorcycle",E71*MileageMotorcycle,IF(D71="Bicycle",E71*MileageBicycle,0))))</f>
      </c>
    </row>
    <row r="72" spans="1:7" x14ac:dyDescent="0.25">
      <c r="A72" s="7"/>
      <c r="B72" s="10"/>
      <c r="C72" s="10"/>
      <c r="D72" s="10"/>
      <c r="E72" s="14"/>
      <c r="F72" s="19">
        <f>IF(D72="Car or van",SUMIFS($E$6:E72,$D$6:D72,"Car or van"),"")</f>
      </c>
      <c r="G72" s="18">
        <f>IF(E72="","",IF(D72="Car or van",(MIN(F72,MileageCarThreshold)-MIN(F72-E72,MileageCarThreshold))*MileageCarFirst+(MAX(F72-MileageCarThreshold,0)-MAX(F72-E72-MileageCarThreshold,0))*MileageCarAfter,IF(D72="Motorcycle",E72*MileageMotorcycle,IF(D72="Bicycle",E72*MileageBicycle,0))))</f>
      </c>
    </row>
    <row r="73" spans="1:7" x14ac:dyDescent="0.25">
      <c r="A73" s="7"/>
      <c r="B73" s="10"/>
      <c r="C73" s="10"/>
      <c r="D73" s="10"/>
      <c r="E73" s="14"/>
      <c r="F73" s="19">
        <f>IF(D73="Car or van",SUMIFS($E$6:E73,$D$6:D73,"Car or van"),"")</f>
      </c>
      <c r="G73" s="18">
        <f>IF(E73="","",IF(D73="Car or van",(MIN(F73,MileageCarThreshold)-MIN(F73-E73,MileageCarThreshold))*MileageCarFirst+(MAX(F73-MileageCarThreshold,0)-MAX(F73-E73-MileageCarThreshold,0))*MileageCarAfter,IF(D73="Motorcycle",E73*MileageMotorcycle,IF(D73="Bicycle",E73*MileageBicycle,0))))</f>
      </c>
    </row>
    <row r="74" spans="1:7" x14ac:dyDescent="0.25">
      <c r="A74" s="7"/>
      <c r="B74" s="10"/>
      <c r="C74" s="10"/>
      <c r="D74" s="10"/>
      <c r="E74" s="14"/>
      <c r="F74" s="19">
        <f>IF(D74="Car or van",SUMIFS($E$6:E74,$D$6:D74,"Car or van"),"")</f>
      </c>
      <c r="G74" s="18">
        <f>IF(E74="","",IF(D74="Car or van",(MIN(F74,MileageCarThreshold)-MIN(F74-E74,MileageCarThreshold))*MileageCarFirst+(MAX(F74-MileageCarThreshold,0)-MAX(F74-E74-MileageCarThreshold,0))*MileageCarAfter,IF(D74="Motorcycle",E74*MileageMotorcycle,IF(D74="Bicycle",E74*MileageBicycle,0))))</f>
      </c>
    </row>
    <row r="75" spans="1:7" x14ac:dyDescent="0.25">
      <c r="A75" s="7"/>
      <c r="B75" s="10"/>
      <c r="C75" s="10"/>
      <c r="D75" s="10"/>
      <c r="E75" s="14"/>
      <c r="F75" s="19">
        <f>IF(D75="Car or van",SUMIFS($E$6:E75,$D$6:D75,"Car or van"),"")</f>
      </c>
      <c r="G75" s="18">
        <f>IF(E75="","",IF(D75="Car or van",(MIN(F75,MileageCarThreshold)-MIN(F75-E75,MileageCarThreshold))*MileageCarFirst+(MAX(F75-MileageCarThreshold,0)-MAX(F75-E75-MileageCarThreshold,0))*MileageCarAfter,IF(D75="Motorcycle",E75*MileageMotorcycle,IF(D75="Bicycle",E75*MileageBicycle,0))))</f>
      </c>
    </row>
    <row r="76" spans="1:7" x14ac:dyDescent="0.25">
      <c r="A76" s="7"/>
      <c r="B76" s="10"/>
      <c r="C76" s="10"/>
      <c r="D76" s="10"/>
      <c r="E76" s="14"/>
      <c r="F76" s="19">
        <f>IF(D76="Car or van",SUMIFS($E$6:E76,$D$6:D76,"Car or van"),"")</f>
      </c>
      <c r="G76" s="18">
        <f>IF(E76="","",IF(D76="Car or van",(MIN(F76,MileageCarThreshold)-MIN(F76-E76,MileageCarThreshold))*MileageCarFirst+(MAX(F76-MileageCarThreshold,0)-MAX(F76-E76-MileageCarThreshold,0))*MileageCarAfter,IF(D76="Motorcycle",E76*MileageMotorcycle,IF(D76="Bicycle",E76*MileageBicycle,0))))</f>
      </c>
    </row>
    <row r="77" spans="1:7" x14ac:dyDescent="0.25">
      <c r="A77" s="7"/>
      <c r="B77" s="10"/>
      <c r="C77" s="10"/>
      <c r="D77" s="10"/>
      <c r="E77" s="14"/>
      <c r="F77" s="19">
        <f>IF(D77="Car or van",SUMIFS($E$6:E77,$D$6:D77,"Car or van"),"")</f>
      </c>
      <c r="G77" s="18">
        <f>IF(E77="","",IF(D77="Car or van",(MIN(F77,MileageCarThreshold)-MIN(F77-E77,MileageCarThreshold))*MileageCarFirst+(MAX(F77-MileageCarThreshold,0)-MAX(F77-E77-MileageCarThreshold,0))*MileageCarAfter,IF(D77="Motorcycle",E77*MileageMotorcycle,IF(D77="Bicycle",E77*MileageBicycle,0))))</f>
      </c>
    </row>
    <row r="78" spans="1:7" x14ac:dyDescent="0.25">
      <c r="A78" s="7"/>
      <c r="B78" s="10"/>
      <c r="C78" s="10"/>
      <c r="D78" s="10"/>
      <c r="E78" s="14"/>
      <c r="F78" s="19">
        <f>IF(D78="Car or van",SUMIFS($E$6:E78,$D$6:D78,"Car or van"),"")</f>
      </c>
      <c r="G78" s="18">
        <f>IF(E78="","",IF(D78="Car or van",(MIN(F78,MileageCarThreshold)-MIN(F78-E78,MileageCarThreshold))*MileageCarFirst+(MAX(F78-MileageCarThreshold,0)-MAX(F78-E78-MileageCarThreshold,0))*MileageCarAfter,IF(D78="Motorcycle",E78*MileageMotorcycle,IF(D78="Bicycle",E78*MileageBicycle,0))))</f>
      </c>
    </row>
    <row r="79" spans="1:7" x14ac:dyDescent="0.25">
      <c r="A79" s="7"/>
      <c r="B79" s="10"/>
      <c r="C79" s="10"/>
      <c r="D79" s="10"/>
      <c r="E79" s="14"/>
      <c r="F79" s="19">
        <f>IF(D79="Car or van",SUMIFS($E$6:E79,$D$6:D79,"Car or van"),"")</f>
      </c>
      <c r="G79" s="18">
        <f>IF(E79="","",IF(D79="Car or van",(MIN(F79,MileageCarThreshold)-MIN(F79-E79,MileageCarThreshold))*MileageCarFirst+(MAX(F79-MileageCarThreshold,0)-MAX(F79-E79-MileageCarThreshold,0))*MileageCarAfter,IF(D79="Motorcycle",E79*MileageMotorcycle,IF(D79="Bicycle",E79*MileageBicycle,0))))</f>
      </c>
    </row>
    <row r="80" spans="1:7" x14ac:dyDescent="0.25">
      <c r="A80" s="7"/>
      <c r="B80" s="10"/>
      <c r="C80" s="10"/>
      <c r="D80" s="10"/>
      <c r="E80" s="14"/>
      <c r="F80" s="19">
        <f>IF(D80="Car or van",SUMIFS($E$6:E80,$D$6:D80,"Car or van"),"")</f>
      </c>
      <c r="G80" s="18">
        <f>IF(E80="","",IF(D80="Car or van",(MIN(F80,MileageCarThreshold)-MIN(F80-E80,MileageCarThreshold))*MileageCarFirst+(MAX(F80-MileageCarThreshold,0)-MAX(F80-E80-MileageCarThreshold,0))*MileageCarAfter,IF(D80="Motorcycle",E80*MileageMotorcycle,IF(D80="Bicycle",E80*MileageBicycle,0))))</f>
      </c>
    </row>
    <row r="81" spans="1:7" x14ac:dyDescent="0.25">
      <c r="A81" s="7"/>
      <c r="B81" s="10"/>
      <c r="C81" s="10"/>
      <c r="D81" s="10"/>
      <c r="E81" s="14"/>
      <c r="F81" s="19">
        <f>IF(D81="Car or van",SUMIFS($E$6:E81,$D$6:D81,"Car or van"),"")</f>
      </c>
      <c r="G81" s="18">
        <f>IF(E81="","",IF(D81="Car or van",(MIN(F81,MileageCarThreshold)-MIN(F81-E81,MileageCarThreshold))*MileageCarFirst+(MAX(F81-MileageCarThreshold,0)-MAX(F81-E81-MileageCarThreshold,0))*MileageCarAfter,IF(D81="Motorcycle",E81*MileageMotorcycle,IF(D81="Bicycle",E81*MileageBicycle,0))))</f>
      </c>
    </row>
    <row r="82" spans="1:7" x14ac:dyDescent="0.25">
      <c r="A82" s="7"/>
      <c r="B82" s="10"/>
      <c r="C82" s="10"/>
      <c r="D82" s="10"/>
      <c r="E82" s="14"/>
      <c r="F82" s="19">
        <f>IF(D82="Car or van",SUMIFS($E$6:E82,$D$6:D82,"Car or van"),"")</f>
      </c>
      <c r="G82" s="18">
        <f>IF(E82="","",IF(D82="Car or van",(MIN(F82,MileageCarThreshold)-MIN(F82-E82,MileageCarThreshold))*MileageCarFirst+(MAX(F82-MileageCarThreshold,0)-MAX(F82-E82-MileageCarThreshold,0))*MileageCarAfter,IF(D82="Motorcycle",E82*MileageMotorcycle,IF(D82="Bicycle",E82*MileageBicycle,0))))</f>
      </c>
    </row>
    <row r="83" spans="1:7" x14ac:dyDescent="0.25">
      <c r="A83" s="7"/>
      <c r="B83" s="10"/>
      <c r="C83" s="10"/>
      <c r="D83" s="10"/>
      <c r="E83" s="14"/>
      <c r="F83" s="19">
        <f>IF(D83="Car or van",SUMIFS($E$6:E83,$D$6:D83,"Car or van"),"")</f>
      </c>
      <c r="G83" s="18">
        <f>IF(E83="","",IF(D83="Car or van",(MIN(F83,MileageCarThreshold)-MIN(F83-E83,MileageCarThreshold))*MileageCarFirst+(MAX(F83-MileageCarThreshold,0)-MAX(F83-E83-MileageCarThreshold,0))*MileageCarAfter,IF(D83="Motorcycle",E83*MileageMotorcycle,IF(D83="Bicycle",E83*MileageBicycle,0))))</f>
      </c>
    </row>
    <row r="84" spans="1:7" x14ac:dyDescent="0.25">
      <c r="A84" s="7"/>
      <c r="B84" s="10"/>
      <c r="C84" s="10"/>
      <c r="D84" s="10"/>
      <c r="E84" s="14"/>
      <c r="F84" s="19">
        <f>IF(D84="Car or van",SUMIFS($E$6:E84,$D$6:D84,"Car or van"),"")</f>
      </c>
      <c r="G84" s="18">
        <f>IF(E84="","",IF(D84="Car or van",(MIN(F84,MileageCarThreshold)-MIN(F84-E84,MileageCarThreshold))*MileageCarFirst+(MAX(F84-MileageCarThreshold,0)-MAX(F84-E84-MileageCarThreshold,0))*MileageCarAfter,IF(D84="Motorcycle",E84*MileageMotorcycle,IF(D84="Bicycle",E84*MileageBicycle,0))))</f>
      </c>
    </row>
    <row r="85" spans="1:7" x14ac:dyDescent="0.25">
      <c r="A85" s="7"/>
      <c r="B85" s="10"/>
      <c r="C85" s="10"/>
      <c r="D85" s="10"/>
      <c r="E85" s="14"/>
      <c r="F85" s="19">
        <f>IF(D85="Car or van",SUMIFS($E$6:E85,$D$6:D85,"Car or van"),"")</f>
      </c>
      <c r="G85" s="18">
        <f>IF(E85="","",IF(D85="Car or van",(MIN(F85,MileageCarThreshold)-MIN(F85-E85,MileageCarThreshold))*MileageCarFirst+(MAX(F85-MileageCarThreshold,0)-MAX(F85-E85-MileageCarThreshold,0))*MileageCarAfter,IF(D85="Motorcycle",E85*MileageMotorcycle,IF(D85="Bicycle",E85*MileageBicycle,0))))</f>
      </c>
    </row>
    <row r="86" spans="1:7" x14ac:dyDescent="0.25">
      <c r="A86" s="7"/>
      <c r="B86" s="10"/>
      <c r="C86" s="10"/>
      <c r="D86" s="10"/>
      <c r="E86" s="14"/>
      <c r="F86" s="19">
        <f>IF(D86="Car or van",SUMIFS($E$6:E86,$D$6:D86,"Car or van"),"")</f>
      </c>
      <c r="G86" s="18">
        <f>IF(E86="","",IF(D86="Car or van",(MIN(F86,MileageCarThreshold)-MIN(F86-E86,MileageCarThreshold))*MileageCarFirst+(MAX(F86-MileageCarThreshold,0)-MAX(F86-E86-MileageCarThreshold,0))*MileageCarAfter,IF(D86="Motorcycle",E86*MileageMotorcycle,IF(D86="Bicycle",E86*MileageBicycle,0))))</f>
      </c>
    </row>
    <row r="87" spans="1:7" x14ac:dyDescent="0.25">
      <c r="A87" s="7"/>
      <c r="B87" s="10"/>
      <c r="C87" s="10"/>
      <c r="D87" s="10"/>
      <c r="E87" s="14"/>
      <c r="F87" s="19">
        <f>IF(D87="Car or van",SUMIFS($E$6:E87,$D$6:D87,"Car or van"),"")</f>
      </c>
      <c r="G87" s="18">
        <f>IF(E87="","",IF(D87="Car or van",(MIN(F87,MileageCarThreshold)-MIN(F87-E87,MileageCarThreshold))*MileageCarFirst+(MAX(F87-MileageCarThreshold,0)-MAX(F87-E87-MileageCarThreshold,0))*MileageCarAfter,IF(D87="Motorcycle",E87*MileageMotorcycle,IF(D87="Bicycle",E87*MileageBicycle,0))))</f>
      </c>
    </row>
    <row r="88" spans="1:7" x14ac:dyDescent="0.25">
      <c r="A88" s="7"/>
      <c r="B88" s="10"/>
      <c r="C88" s="10"/>
      <c r="D88" s="10"/>
      <c r="E88" s="14"/>
      <c r="F88" s="19">
        <f>IF(D88="Car or van",SUMIFS($E$6:E88,$D$6:D88,"Car or van"),"")</f>
      </c>
      <c r="G88" s="18">
        <f>IF(E88="","",IF(D88="Car or van",(MIN(F88,MileageCarThreshold)-MIN(F88-E88,MileageCarThreshold))*MileageCarFirst+(MAX(F88-MileageCarThreshold,0)-MAX(F88-E88-MileageCarThreshold,0))*MileageCarAfter,IF(D88="Motorcycle",E88*MileageMotorcycle,IF(D88="Bicycle",E88*MileageBicycle,0))))</f>
      </c>
    </row>
    <row r="89" spans="1:7" x14ac:dyDescent="0.25">
      <c r="A89" s="7"/>
      <c r="B89" s="10"/>
      <c r="C89" s="10"/>
      <c r="D89" s="10"/>
      <c r="E89" s="14"/>
      <c r="F89" s="19">
        <f>IF(D89="Car or van",SUMIFS($E$6:E89,$D$6:D89,"Car or van"),"")</f>
      </c>
      <c r="G89" s="18">
        <f>IF(E89="","",IF(D89="Car or van",(MIN(F89,MileageCarThreshold)-MIN(F89-E89,MileageCarThreshold))*MileageCarFirst+(MAX(F89-MileageCarThreshold,0)-MAX(F89-E89-MileageCarThreshold,0))*MileageCarAfter,IF(D89="Motorcycle",E89*MileageMotorcycle,IF(D89="Bicycle",E89*MileageBicycle,0))))</f>
      </c>
    </row>
    <row r="90" spans="1:7" x14ac:dyDescent="0.25">
      <c r="A90" s="7"/>
      <c r="B90" s="10"/>
      <c r="C90" s="10"/>
      <c r="D90" s="10"/>
      <c r="E90" s="14"/>
      <c r="F90" s="19">
        <f>IF(D90="Car or van",SUMIFS($E$6:E90,$D$6:D90,"Car or van"),"")</f>
      </c>
      <c r="G90" s="18">
        <f>IF(E90="","",IF(D90="Car or van",(MIN(F90,MileageCarThreshold)-MIN(F90-E90,MileageCarThreshold))*MileageCarFirst+(MAX(F90-MileageCarThreshold,0)-MAX(F90-E90-MileageCarThreshold,0))*MileageCarAfter,IF(D90="Motorcycle",E90*MileageMotorcycle,IF(D90="Bicycle",E90*MileageBicycle,0))))</f>
      </c>
    </row>
    <row r="91" spans="1:7" x14ac:dyDescent="0.25">
      <c r="A91" s="7"/>
      <c r="B91" s="10"/>
      <c r="C91" s="10"/>
      <c r="D91" s="10"/>
      <c r="E91" s="14"/>
      <c r="F91" s="19">
        <f>IF(D91="Car or van",SUMIFS($E$6:E91,$D$6:D91,"Car or van"),"")</f>
      </c>
      <c r="G91" s="18">
        <f>IF(E91="","",IF(D91="Car or van",(MIN(F91,MileageCarThreshold)-MIN(F91-E91,MileageCarThreshold))*MileageCarFirst+(MAX(F91-MileageCarThreshold,0)-MAX(F91-E91-MileageCarThreshold,0))*MileageCarAfter,IF(D91="Motorcycle",E91*MileageMotorcycle,IF(D91="Bicycle",E91*MileageBicycle,0))))</f>
      </c>
    </row>
    <row r="92" spans="1:7" x14ac:dyDescent="0.25">
      <c r="A92" s="7"/>
      <c r="B92" s="10"/>
      <c r="C92" s="10"/>
      <c r="D92" s="10"/>
      <c r="E92" s="14"/>
      <c r="F92" s="19">
        <f>IF(D92="Car or van",SUMIFS($E$6:E92,$D$6:D92,"Car or van"),"")</f>
      </c>
      <c r="G92" s="18">
        <f>IF(E92="","",IF(D92="Car or van",(MIN(F92,MileageCarThreshold)-MIN(F92-E92,MileageCarThreshold))*MileageCarFirst+(MAX(F92-MileageCarThreshold,0)-MAX(F92-E92-MileageCarThreshold,0))*MileageCarAfter,IF(D92="Motorcycle",E92*MileageMotorcycle,IF(D92="Bicycle",E92*MileageBicycle,0))))</f>
      </c>
    </row>
    <row r="93" spans="1:7" x14ac:dyDescent="0.25">
      <c r="A93" s="7"/>
      <c r="B93" s="10"/>
      <c r="C93" s="10"/>
      <c r="D93" s="10"/>
      <c r="E93" s="14"/>
      <c r="F93" s="19">
        <f>IF(D93="Car or van",SUMIFS($E$6:E93,$D$6:D93,"Car or van"),"")</f>
      </c>
      <c r="G93" s="18">
        <f>IF(E93="","",IF(D93="Car or van",(MIN(F93,MileageCarThreshold)-MIN(F93-E93,MileageCarThreshold))*MileageCarFirst+(MAX(F93-MileageCarThreshold,0)-MAX(F93-E93-MileageCarThreshold,0))*MileageCarAfter,IF(D93="Motorcycle",E93*MileageMotorcycle,IF(D93="Bicycle",E93*MileageBicycle,0))))</f>
      </c>
    </row>
    <row r="94" spans="1:7" x14ac:dyDescent="0.25">
      <c r="A94" s="7"/>
      <c r="B94" s="10"/>
      <c r="C94" s="10"/>
      <c r="D94" s="10"/>
      <c r="E94" s="14"/>
      <c r="F94" s="19">
        <f>IF(D94="Car or van",SUMIFS($E$6:E94,$D$6:D94,"Car or van"),"")</f>
      </c>
      <c r="G94" s="18">
        <f>IF(E94="","",IF(D94="Car or van",(MIN(F94,MileageCarThreshold)-MIN(F94-E94,MileageCarThreshold))*MileageCarFirst+(MAX(F94-MileageCarThreshold,0)-MAX(F94-E94-MileageCarThreshold,0))*MileageCarAfter,IF(D94="Motorcycle",E94*MileageMotorcycle,IF(D94="Bicycle",E94*MileageBicycle,0))))</f>
      </c>
    </row>
    <row r="95" spans="1:7" x14ac:dyDescent="0.25">
      <c r="A95" s="7"/>
      <c r="B95" s="10"/>
      <c r="C95" s="10"/>
      <c r="D95" s="10"/>
      <c r="E95" s="14"/>
      <c r="F95" s="19">
        <f>IF(D95="Car or van",SUMIFS($E$6:E95,$D$6:D95,"Car or van"),"")</f>
      </c>
      <c r="G95" s="18">
        <f>IF(E95="","",IF(D95="Car or van",(MIN(F95,MileageCarThreshold)-MIN(F95-E95,MileageCarThreshold))*MileageCarFirst+(MAX(F95-MileageCarThreshold,0)-MAX(F95-E95-MileageCarThreshold,0))*MileageCarAfter,IF(D95="Motorcycle",E95*MileageMotorcycle,IF(D95="Bicycle",E95*MileageBicycle,0))))</f>
      </c>
    </row>
    <row r="96" spans="1:7" x14ac:dyDescent="0.25">
      <c r="A96" s="7"/>
      <c r="B96" s="10"/>
      <c r="C96" s="10"/>
      <c r="D96" s="10"/>
      <c r="E96" s="14"/>
      <c r="F96" s="19">
        <f>IF(D96="Car or van",SUMIFS($E$6:E96,$D$6:D96,"Car or van"),"")</f>
      </c>
      <c r="G96" s="18">
        <f>IF(E96="","",IF(D96="Car or van",(MIN(F96,MileageCarThreshold)-MIN(F96-E96,MileageCarThreshold))*MileageCarFirst+(MAX(F96-MileageCarThreshold,0)-MAX(F96-E96-MileageCarThreshold,0))*MileageCarAfter,IF(D96="Motorcycle",E96*MileageMotorcycle,IF(D96="Bicycle",E96*MileageBicycle,0))))</f>
      </c>
    </row>
    <row r="97" spans="1:7" x14ac:dyDescent="0.25">
      <c r="A97" s="7"/>
      <c r="B97" s="10"/>
      <c r="C97" s="10"/>
      <c r="D97" s="10"/>
      <c r="E97" s="14"/>
      <c r="F97" s="19">
        <f>IF(D97="Car or van",SUMIFS($E$6:E97,$D$6:D97,"Car or van"),"")</f>
      </c>
      <c r="G97" s="18">
        <f>IF(E97="","",IF(D97="Car or van",(MIN(F97,MileageCarThreshold)-MIN(F97-E97,MileageCarThreshold))*MileageCarFirst+(MAX(F97-MileageCarThreshold,0)-MAX(F97-E97-MileageCarThreshold,0))*MileageCarAfter,IF(D97="Motorcycle",E97*MileageMotorcycle,IF(D97="Bicycle",E97*MileageBicycle,0))))</f>
      </c>
    </row>
    <row r="98" spans="1:7" x14ac:dyDescent="0.25">
      <c r="A98" s="7"/>
      <c r="B98" s="10"/>
      <c r="C98" s="10"/>
      <c r="D98" s="10"/>
      <c r="E98" s="14"/>
      <c r="F98" s="19">
        <f>IF(D98="Car or van",SUMIFS($E$6:E98,$D$6:D98,"Car or van"),"")</f>
      </c>
      <c r="G98" s="18">
        <f>IF(E98="","",IF(D98="Car or van",(MIN(F98,MileageCarThreshold)-MIN(F98-E98,MileageCarThreshold))*MileageCarFirst+(MAX(F98-MileageCarThreshold,0)-MAX(F98-E98-MileageCarThreshold,0))*MileageCarAfter,IF(D98="Motorcycle",E98*MileageMotorcycle,IF(D98="Bicycle",E98*MileageBicycle,0))))</f>
      </c>
    </row>
    <row r="99" spans="1:7" x14ac:dyDescent="0.25">
      <c r="A99" s="7"/>
      <c r="B99" s="10"/>
      <c r="C99" s="10"/>
      <c r="D99" s="10"/>
      <c r="E99" s="14"/>
      <c r="F99" s="19">
        <f>IF(D99="Car or van",SUMIFS($E$6:E99,$D$6:D99,"Car or van"),"")</f>
      </c>
      <c r="G99" s="18">
        <f>IF(E99="","",IF(D99="Car or van",(MIN(F99,MileageCarThreshold)-MIN(F99-E99,MileageCarThreshold))*MileageCarFirst+(MAX(F99-MileageCarThreshold,0)-MAX(F99-E99-MileageCarThreshold,0))*MileageCarAfter,IF(D99="Motorcycle",E99*MileageMotorcycle,IF(D99="Bicycle",E99*MileageBicycle,0))))</f>
      </c>
    </row>
    <row r="100" spans="1:7" x14ac:dyDescent="0.25">
      <c r="A100" s="7"/>
      <c r="B100" s="10"/>
      <c r="C100" s="10"/>
      <c r="D100" s="10"/>
      <c r="E100" s="14"/>
      <c r="F100" s="19">
        <f>IF(D100="Car or van",SUMIFS($E$6:E100,$D$6:D100,"Car or van"),"")</f>
      </c>
      <c r="G100" s="18">
        <f>IF(E100="","",IF(D100="Car or van",(MIN(F100,MileageCarThreshold)-MIN(F100-E100,MileageCarThreshold))*MileageCarFirst+(MAX(F100-MileageCarThreshold,0)-MAX(F100-E100-MileageCarThreshold,0))*MileageCarAfter,IF(D100="Motorcycle",E100*MileageMotorcycle,IF(D100="Bicycle",E100*MileageBicycle,0))))</f>
      </c>
    </row>
    <row r="101" spans="1:7" x14ac:dyDescent="0.25">
      <c r="A101" s="7"/>
      <c r="B101" s="10"/>
      <c r="C101" s="10"/>
      <c r="D101" s="10"/>
      <c r="E101" s="14"/>
      <c r="F101" s="19">
        <f>IF(D101="Car or van",SUMIFS($E$6:E101,$D$6:D101,"Car or van"),"")</f>
      </c>
      <c r="G101" s="18">
        <f>IF(E101="","",IF(D101="Car or van",(MIN(F101,MileageCarThreshold)-MIN(F101-E101,MileageCarThreshold))*MileageCarFirst+(MAX(F101-MileageCarThreshold,0)-MAX(F101-E101-MileageCarThreshold,0))*MileageCarAfter,IF(D101="Motorcycle",E101*MileageMotorcycle,IF(D101="Bicycle",E101*MileageBicycle,0))))</f>
      </c>
    </row>
    <row r="102" spans="1:7" x14ac:dyDescent="0.25">
      <c r="A102" s="7"/>
      <c r="B102" s="10"/>
      <c r="C102" s="10"/>
      <c r="D102" s="10"/>
      <c r="E102" s="14"/>
      <c r="F102" s="19">
        <f>IF(D102="Car or van",SUMIFS($E$6:E102,$D$6:D102,"Car or van"),"")</f>
      </c>
      <c r="G102" s="18">
        <f>IF(E102="","",IF(D102="Car or van",(MIN(F102,MileageCarThreshold)-MIN(F102-E102,MileageCarThreshold))*MileageCarFirst+(MAX(F102-MileageCarThreshold,0)-MAX(F102-E102-MileageCarThreshold,0))*MileageCarAfter,IF(D102="Motorcycle",E102*MileageMotorcycle,IF(D102="Bicycle",E102*MileageBicycle,0))))</f>
      </c>
    </row>
    <row r="103" spans="1:7" x14ac:dyDescent="0.25">
      <c r="A103" s="7"/>
      <c r="B103" s="10"/>
      <c r="C103" s="10"/>
      <c r="D103" s="10"/>
      <c r="E103" s="14"/>
      <c r="F103" s="19">
        <f>IF(D103="Car or van",SUMIFS($E$6:E103,$D$6:D103,"Car or van"),"")</f>
      </c>
      <c r="G103" s="18">
        <f>IF(E103="","",IF(D103="Car or van",(MIN(F103,MileageCarThreshold)-MIN(F103-E103,MileageCarThreshold))*MileageCarFirst+(MAX(F103-MileageCarThreshold,0)-MAX(F103-E103-MileageCarThreshold,0))*MileageCarAfter,IF(D103="Motorcycle",E103*MileageMotorcycle,IF(D103="Bicycle",E103*MileageBicycle,0))))</f>
      </c>
    </row>
    <row r="104" spans="1:7" x14ac:dyDescent="0.25">
      <c r="A104" s="7"/>
      <c r="B104" s="10"/>
      <c r="C104" s="10"/>
      <c r="D104" s="10"/>
      <c r="E104" s="14"/>
      <c r="F104" s="19">
        <f>IF(D104="Car or van",SUMIFS($E$6:E104,$D$6:D104,"Car or van"),"")</f>
      </c>
      <c r="G104" s="18">
        <f>IF(E104="","",IF(D104="Car or van",(MIN(F104,MileageCarThreshold)-MIN(F104-E104,MileageCarThreshold))*MileageCarFirst+(MAX(F104-MileageCarThreshold,0)-MAX(F104-E104-MileageCarThreshold,0))*MileageCarAfter,IF(D104="Motorcycle",E104*MileageMotorcycle,IF(D104="Bicycle",E104*MileageBicycle,0))))</f>
      </c>
    </row>
    <row r="105" spans="1:7" x14ac:dyDescent="0.25">
      <c r="A105" s="7"/>
      <c r="B105" s="10"/>
      <c r="C105" s="10"/>
      <c r="D105" s="10"/>
      <c r="E105" s="14"/>
      <c r="F105" s="19">
        <f>IF(D105="Car or van",SUMIFS($E$6:E105,$D$6:D105,"Car or van"),"")</f>
      </c>
      <c r="G105" s="18">
        <f>IF(E105="","",IF(D105="Car or van",(MIN(F105,MileageCarThreshold)-MIN(F105-E105,MileageCarThreshold))*MileageCarFirst+(MAX(F105-MileageCarThreshold,0)-MAX(F105-E105-MileageCarThreshold,0))*MileageCarAfter,IF(D105="Motorcycle",E105*MileageMotorcycle,IF(D105="Bicycle",E105*MileageBicycle,0))))</f>
      </c>
    </row>
    <row r="106" spans="1:7" x14ac:dyDescent="0.25">
      <c r="A106" s="7"/>
      <c r="B106" s="10"/>
      <c r="C106" s="10"/>
      <c r="D106" s="10"/>
      <c r="E106" s="14"/>
      <c r="F106" s="19">
        <f>IF(D106="Car or van",SUMIFS($E$6:E106,$D$6:D106,"Car or van"),"")</f>
      </c>
      <c r="G106" s="18">
        <f>IF(E106="","",IF(D106="Car or van",(MIN(F106,MileageCarThreshold)-MIN(F106-E106,MileageCarThreshold))*MileageCarFirst+(MAX(F106-MileageCarThreshold,0)-MAX(F106-E106-MileageCarThreshold,0))*MileageCarAfter,IF(D106="Motorcycle",E106*MileageMotorcycle,IF(D106="Bicycle",E106*MileageBicycle,0))))</f>
      </c>
    </row>
    <row r="107" spans="1:7" x14ac:dyDescent="0.25">
      <c r="A107" s="7"/>
      <c r="B107" s="10"/>
      <c r="C107" s="10"/>
      <c r="D107" s="10"/>
      <c r="E107" s="14"/>
      <c r="F107" s="19">
        <f>IF(D107="Car or van",SUMIFS($E$6:E107,$D$6:D107,"Car or van"),"")</f>
      </c>
      <c r="G107" s="18">
        <f>IF(E107="","",IF(D107="Car or van",(MIN(F107,MileageCarThreshold)-MIN(F107-E107,MileageCarThreshold))*MileageCarFirst+(MAX(F107-MileageCarThreshold,0)-MAX(F107-E107-MileageCarThreshold,0))*MileageCarAfter,IF(D107="Motorcycle",E107*MileageMotorcycle,IF(D107="Bicycle",E107*MileageBicycle,0))))</f>
      </c>
    </row>
    <row r="108" spans="1:7" x14ac:dyDescent="0.25">
      <c r="A108" s="7"/>
      <c r="B108" s="10"/>
      <c r="C108" s="10"/>
      <c r="D108" s="10"/>
      <c r="E108" s="14"/>
      <c r="F108" s="19">
        <f>IF(D108="Car or van",SUMIFS($E$6:E108,$D$6:D108,"Car or van"),"")</f>
      </c>
      <c r="G108" s="18">
        <f>IF(E108="","",IF(D108="Car or van",(MIN(F108,MileageCarThreshold)-MIN(F108-E108,MileageCarThreshold))*MileageCarFirst+(MAX(F108-MileageCarThreshold,0)-MAX(F108-E108-MileageCarThreshold,0))*MileageCarAfter,IF(D108="Motorcycle",E108*MileageMotorcycle,IF(D108="Bicycle",E108*MileageBicycle,0))))</f>
      </c>
    </row>
    <row r="109" spans="1:7" x14ac:dyDescent="0.25">
      <c r="A109" s="7"/>
      <c r="B109" s="10"/>
      <c r="C109" s="10"/>
      <c r="D109" s="10"/>
      <c r="E109" s="14"/>
      <c r="F109" s="19">
        <f>IF(D109="Car or van",SUMIFS($E$6:E109,$D$6:D109,"Car or van"),"")</f>
      </c>
      <c r="G109" s="18">
        <f>IF(E109="","",IF(D109="Car or van",(MIN(F109,MileageCarThreshold)-MIN(F109-E109,MileageCarThreshold))*MileageCarFirst+(MAX(F109-MileageCarThreshold,0)-MAX(F109-E109-MileageCarThreshold,0))*MileageCarAfter,IF(D109="Motorcycle",E109*MileageMotorcycle,IF(D109="Bicycle",E109*MileageBicycle,0))))</f>
      </c>
    </row>
    <row r="110" spans="1:7" x14ac:dyDescent="0.25">
      <c r="A110" s="7"/>
      <c r="B110" s="10"/>
      <c r="C110" s="10"/>
      <c r="D110" s="10"/>
      <c r="E110" s="14"/>
      <c r="F110" s="19">
        <f>IF(D110="Car or van",SUMIFS($E$6:E110,$D$6:D110,"Car or van"),"")</f>
      </c>
      <c r="G110" s="18">
        <f>IF(E110="","",IF(D110="Car or van",(MIN(F110,MileageCarThreshold)-MIN(F110-E110,MileageCarThreshold))*MileageCarFirst+(MAX(F110-MileageCarThreshold,0)-MAX(F110-E110-MileageCarThreshold,0))*MileageCarAfter,IF(D110="Motorcycle",E110*MileageMotorcycle,IF(D110="Bicycle",E110*MileageBicycle,0))))</f>
      </c>
    </row>
    <row r="111" spans="1:7" x14ac:dyDescent="0.25">
      <c r="A111" s="7"/>
      <c r="B111" s="10"/>
      <c r="C111" s="10"/>
      <c r="D111" s="10"/>
      <c r="E111" s="14"/>
      <c r="F111" s="19">
        <f>IF(D111="Car or van",SUMIFS($E$6:E111,$D$6:D111,"Car or van"),"")</f>
      </c>
      <c r="G111" s="18">
        <f>IF(E111="","",IF(D111="Car or van",(MIN(F111,MileageCarThreshold)-MIN(F111-E111,MileageCarThreshold))*MileageCarFirst+(MAX(F111-MileageCarThreshold,0)-MAX(F111-E111-MileageCarThreshold,0))*MileageCarAfter,IF(D111="Motorcycle",E111*MileageMotorcycle,IF(D111="Bicycle",E111*MileageBicycle,0))))</f>
      </c>
    </row>
    <row r="112" spans="1:7" x14ac:dyDescent="0.25">
      <c r="A112" s="7"/>
      <c r="B112" s="10"/>
      <c r="C112" s="10"/>
      <c r="D112" s="10"/>
      <c r="E112" s="14"/>
      <c r="F112" s="19">
        <f>IF(D112="Car or van",SUMIFS($E$6:E112,$D$6:D112,"Car or van"),"")</f>
      </c>
      <c r="G112" s="18">
        <f>IF(E112="","",IF(D112="Car or van",(MIN(F112,MileageCarThreshold)-MIN(F112-E112,MileageCarThreshold))*MileageCarFirst+(MAX(F112-MileageCarThreshold,0)-MAX(F112-E112-MileageCarThreshold,0))*MileageCarAfter,IF(D112="Motorcycle",E112*MileageMotorcycle,IF(D112="Bicycle",E112*MileageBicycle,0))))</f>
      </c>
    </row>
    <row r="113" spans="1:7" x14ac:dyDescent="0.25">
      <c r="A113" s="7"/>
      <c r="B113" s="10"/>
      <c r="C113" s="10"/>
      <c r="D113" s="10"/>
      <c r="E113" s="14"/>
      <c r="F113" s="19">
        <f>IF(D113="Car or van",SUMIFS($E$6:E113,$D$6:D113,"Car or van"),"")</f>
      </c>
      <c r="G113" s="18">
        <f>IF(E113="","",IF(D113="Car or van",(MIN(F113,MileageCarThreshold)-MIN(F113-E113,MileageCarThreshold))*MileageCarFirst+(MAX(F113-MileageCarThreshold,0)-MAX(F113-E113-MileageCarThreshold,0))*MileageCarAfter,IF(D113="Motorcycle",E113*MileageMotorcycle,IF(D113="Bicycle",E113*MileageBicycle,0))))</f>
      </c>
    </row>
    <row r="114" spans="1:7" x14ac:dyDescent="0.25">
      <c r="A114" s="7"/>
      <c r="B114" s="10"/>
      <c r="C114" s="10"/>
      <c r="D114" s="10"/>
      <c r="E114" s="14"/>
      <c r="F114" s="19">
        <f>IF(D114="Car or van",SUMIFS($E$6:E114,$D$6:D114,"Car or van"),"")</f>
      </c>
      <c r="G114" s="18">
        <f>IF(E114="","",IF(D114="Car or van",(MIN(F114,MileageCarThreshold)-MIN(F114-E114,MileageCarThreshold))*MileageCarFirst+(MAX(F114-MileageCarThreshold,0)-MAX(F114-E114-MileageCarThreshold,0))*MileageCarAfter,IF(D114="Motorcycle",E114*MileageMotorcycle,IF(D114="Bicycle",E114*MileageBicycle,0))))</f>
      </c>
    </row>
    <row r="115" spans="1:7" x14ac:dyDescent="0.25">
      <c r="A115" s="7"/>
      <c r="B115" s="10"/>
      <c r="C115" s="10"/>
      <c r="D115" s="10"/>
      <c r="E115" s="14"/>
      <c r="F115" s="19">
        <f>IF(D115="Car or van",SUMIFS($E$6:E115,$D$6:D115,"Car or van"),"")</f>
      </c>
      <c r="G115" s="18">
        <f>IF(E115="","",IF(D115="Car or van",(MIN(F115,MileageCarThreshold)-MIN(F115-E115,MileageCarThreshold))*MileageCarFirst+(MAX(F115-MileageCarThreshold,0)-MAX(F115-E115-MileageCarThreshold,0))*MileageCarAfter,IF(D115="Motorcycle",E115*MileageMotorcycle,IF(D115="Bicycle",E115*MileageBicycle,0))))</f>
      </c>
    </row>
    <row r="116" spans="1:7" x14ac:dyDescent="0.25">
      <c r="A116" s="7"/>
      <c r="B116" s="10"/>
      <c r="C116" s="10"/>
      <c r="D116" s="10"/>
      <c r="E116" s="14"/>
      <c r="F116" s="19">
        <f>IF(D116="Car or van",SUMIFS($E$6:E116,$D$6:D116,"Car or van"),"")</f>
      </c>
      <c r="G116" s="18">
        <f>IF(E116="","",IF(D116="Car or van",(MIN(F116,MileageCarThreshold)-MIN(F116-E116,MileageCarThreshold))*MileageCarFirst+(MAX(F116-MileageCarThreshold,0)-MAX(F116-E116-MileageCarThreshold,0))*MileageCarAfter,IF(D116="Motorcycle",E116*MileageMotorcycle,IF(D116="Bicycle",E116*MileageBicycle,0))))</f>
      </c>
    </row>
    <row r="117" spans="1:7" x14ac:dyDescent="0.25">
      <c r="A117" s="7"/>
      <c r="B117" s="10"/>
      <c r="C117" s="10"/>
      <c r="D117" s="10"/>
      <c r="E117" s="14"/>
      <c r="F117" s="19">
        <f>IF(D117="Car or van",SUMIFS($E$6:E117,$D$6:D117,"Car or van"),"")</f>
      </c>
      <c r="G117" s="18">
        <f>IF(E117="","",IF(D117="Car or van",(MIN(F117,MileageCarThreshold)-MIN(F117-E117,MileageCarThreshold))*MileageCarFirst+(MAX(F117-MileageCarThreshold,0)-MAX(F117-E117-MileageCarThreshold,0))*MileageCarAfter,IF(D117="Motorcycle",E117*MileageMotorcycle,IF(D117="Bicycle",E117*MileageBicycle,0))))</f>
      </c>
    </row>
    <row r="118" spans="1:7" x14ac:dyDescent="0.25">
      <c r="A118" s="7"/>
      <c r="B118" s="10"/>
      <c r="C118" s="10"/>
      <c r="D118" s="10"/>
      <c r="E118" s="14"/>
      <c r="F118" s="19">
        <f>IF(D118="Car or van",SUMIFS($E$6:E118,$D$6:D118,"Car or van"),"")</f>
      </c>
      <c r="G118" s="18">
        <f>IF(E118="","",IF(D118="Car or van",(MIN(F118,MileageCarThreshold)-MIN(F118-E118,MileageCarThreshold))*MileageCarFirst+(MAX(F118-MileageCarThreshold,0)-MAX(F118-E118-MileageCarThreshold,0))*MileageCarAfter,IF(D118="Motorcycle",E118*MileageMotorcycle,IF(D118="Bicycle",E118*MileageBicycle,0))))</f>
      </c>
    </row>
    <row r="119" spans="1:7" x14ac:dyDescent="0.25">
      <c r="A119" s="7"/>
      <c r="B119" s="10"/>
      <c r="C119" s="10"/>
      <c r="D119" s="10"/>
      <c r="E119" s="14"/>
      <c r="F119" s="19">
        <f>IF(D119="Car or van",SUMIFS($E$6:E119,$D$6:D119,"Car or van"),"")</f>
      </c>
      <c r="G119" s="18">
        <f>IF(E119="","",IF(D119="Car or van",(MIN(F119,MileageCarThreshold)-MIN(F119-E119,MileageCarThreshold))*MileageCarFirst+(MAX(F119-MileageCarThreshold,0)-MAX(F119-E119-MileageCarThreshold,0))*MileageCarAfter,IF(D119="Motorcycle",E119*MileageMotorcycle,IF(D119="Bicycle",E119*MileageBicycle,0))))</f>
      </c>
    </row>
    <row r="120" spans="1:7" x14ac:dyDescent="0.25">
      <c r="A120" s="7"/>
      <c r="B120" s="10"/>
      <c r="C120" s="10"/>
      <c r="D120" s="10"/>
      <c r="E120" s="14"/>
      <c r="F120" s="19">
        <f>IF(D120="Car or van",SUMIFS($E$6:E120,$D$6:D120,"Car or van"),"")</f>
      </c>
      <c r="G120" s="18">
        <f>IF(E120="","",IF(D120="Car or van",(MIN(F120,MileageCarThreshold)-MIN(F120-E120,MileageCarThreshold))*MileageCarFirst+(MAX(F120-MileageCarThreshold,0)-MAX(F120-E120-MileageCarThreshold,0))*MileageCarAfter,IF(D120="Motorcycle",E120*MileageMotorcycle,IF(D120="Bicycle",E120*MileageBicycle,0))))</f>
      </c>
    </row>
    <row r="121" spans="1:7" x14ac:dyDescent="0.25">
      <c r="A121" s="7"/>
      <c r="B121" s="10"/>
      <c r="C121" s="10"/>
      <c r="D121" s="10"/>
      <c r="E121" s="14"/>
      <c r="F121" s="19">
        <f>IF(D121="Car or van",SUMIFS($E$6:E121,$D$6:D121,"Car or van"),"")</f>
      </c>
      <c r="G121" s="18">
        <f>IF(E121="","",IF(D121="Car or van",(MIN(F121,MileageCarThreshold)-MIN(F121-E121,MileageCarThreshold))*MileageCarFirst+(MAX(F121-MileageCarThreshold,0)-MAX(F121-E121-MileageCarThreshold,0))*MileageCarAfter,IF(D121="Motorcycle",E121*MileageMotorcycle,IF(D121="Bicycle",E121*MileageBicycle,0))))</f>
      </c>
    </row>
    <row r="122" spans="1:7" x14ac:dyDescent="0.25">
      <c r="A122" s="7"/>
      <c r="B122" s="10"/>
      <c r="C122" s="10"/>
      <c r="D122" s="10"/>
      <c r="E122" s="14"/>
      <c r="F122" s="19">
        <f>IF(D122="Car or van",SUMIFS($E$6:E122,$D$6:D122,"Car or van"),"")</f>
      </c>
      <c r="G122" s="18">
        <f>IF(E122="","",IF(D122="Car or van",(MIN(F122,MileageCarThreshold)-MIN(F122-E122,MileageCarThreshold))*MileageCarFirst+(MAX(F122-MileageCarThreshold,0)-MAX(F122-E122-MileageCarThreshold,0))*MileageCarAfter,IF(D122="Motorcycle",E122*MileageMotorcycle,IF(D122="Bicycle",E122*MileageBicycle,0))))</f>
      </c>
    </row>
    <row r="123" spans="1:7" x14ac:dyDescent="0.25">
      <c r="A123" s="7"/>
      <c r="B123" s="10"/>
      <c r="C123" s="10"/>
      <c r="D123" s="10"/>
      <c r="E123" s="14"/>
      <c r="F123" s="19">
        <f>IF(D123="Car or van",SUMIFS($E$6:E123,$D$6:D123,"Car or van"),"")</f>
      </c>
      <c r="G123" s="18">
        <f>IF(E123="","",IF(D123="Car or van",(MIN(F123,MileageCarThreshold)-MIN(F123-E123,MileageCarThreshold))*MileageCarFirst+(MAX(F123-MileageCarThreshold,0)-MAX(F123-E123-MileageCarThreshold,0))*MileageCarAfter,IF(D123="Motorcycle",E123*MileageMotorcycle,IF(D123="Bicycle",E123*MileageBicycle,0))))</f>
      </c>
    </row>
    <row r="124" spans="1:7" x14ac:dyDescent="0.25">
      <c r="A124" s="7"/>
      <c r="B124" s="10"/>
      <c r="C124" s="10"/>
      <c r="D124" s="10"/>
      <c r="E124" s="14"/>
      <c r="F124" s="19">
        <f>IF(D124="Car or van",SUMIFS($E$6:E124,$D$6:D124,"Car or van"),"")</f>
      </c>
      <c r="G124" s="18">
        <f>IF(E124="","",IF(D124="Car or van",(MIN(F124,MileageCarThreshold)-MIN(F124-E124,MileageCarThreshold))*MileageCarFirst+(MAX(F124-MileageCarThreshold,0)-MAX(F124-E124-MileageCarThreshold,0))*MileageCarAfter,IF(D124="Motorcycle",E124*MileageMotorcycle,IF(D124="Bicycle",E124*MileageBicycle,0))))</f>
      </c>
    </row>
    <row r="125" spans="1:7" x14ac:dyDescent="0.25">
      <c r="A125" s="7"/>
      <c r="B125" s="10"/>
      <c r="C125" s="10"/>
      <c r="D125" s="10"/>
      <c r="E125" s="14"/>
      <c r="F125" s="19">
        <f>IF(D125="Car or van",SUMIFS($E$6:E125,$D$6:D125,"Car or van"),"")</f>
      </c>
      <c r="G125" s="18">
        <f>IF(E125="","",IF(D125="Car or van",(MIN(F125,MileageCarThreshold)-MIN(F125-E125,MileageCarThreshold))*MileageCarFirst+(MAX(F125-MileageCarThreshold,0)-MAX(F125-E125-MileageCarThreshold,0))*MileageCarAfter,IF(D125="Motorcycle",E125*MileageMotorcycle,IF(D125="Bicycle",E125*MileageBicycle,0))))</f>
      </c>
    </row>
    <row r="126" spans="1:7" x14ac:dyDescent="0.25">
      <c r="A126" s="7"/>
      <c r="B126" s="10"/>
      <c r="C126" s="10"/>
      <c r="D126" s="10"/>
      <c r="E126" s="14"/>
      <c r="F126" s="19">
        <f>IF(D126="Car or van",SUMIFS($E$6:E126,$D$6:D126,"Car or van"),"")</f>
      </c>
      <c r="G126" s="18">
        <f>IF(E126="","",IF(D126="Car or van",(MIN(F126,MileageCarThreshold)-MIN(F126-E126,MileageCarThreshold))*MileageCarFirst+(MAX(F126-MileageCarThreshold,0)-MAX(F126-E126-MileageCarThreshold,0))*MileageCarAfter,IF(D126="Motorcycle",E126*MileageMotorcycle,IF(D126="Bicycle",E126*MileageBicycle,0))))</f>
      </c>
    </row>
    <row r="127" spans="1:7" x14ac:dyDescent="0.25">
      <c r="A127" s="7"/>
      <c r="B127" s="10"/>
      <c r="C127" s="10"/>
      <c r="D127" s="10"/>
      <c r="E127" s="14"/>
      <c r="F127" s="19">
        <f>IF(D127="Car or van",SUMIFS($E$6:E127,$D$6:D127,"Car or van"),"")</f>
      </c>
      <c r="G127" s="18">
        <f>IF(E127="","",IF(D127="Car or van",(MIN(F127,MileageCarThreshold)-MIN(F127-E127,MileageCarThreshold))*MileageCarFirst+(MAX(F127-MileageCarThreshold,0)-MAX(F127-E127-MileageCarThreshold,0))*MileageCarAfter,IF(D127="Motorcycle",E127*MileageMotorcycle,IF(D127="Bicycle",E127*MileageBicycle,0))))</f>
      </c>
    </row>
    <row r="128" spans="1:7" x14ac:dyDescent="0.25">
      <c r="A128" s="7"/>
      <c r="B128" s="10"/>
      <c r="C128" s="10"/>
      <c r="D128" s="10"/>
      <c r="E128" s="14"/>
      <c r="F128" s="19">
        <f>IF(D128="Car or van",SUMIFS($E$6:E128,$D$6:D128,"Car or van"),"")</f>
      </c>
      <c r="G128" s="18">
        <f>IF(E128="","",IF(D128="Car or van",(MIN(F128,MileageCarThreshold)-MIN(F128-E128,MileageCarThreshold))*MileageCarFirst+(MAX(F128-MileageCarThreshold,0)-MAX(F128-E128-MileageCarThreshold,0))*MileageCarAfter,IF(D128="Motorcycle",E128*MileageMotorcycle,IF(D128="Bicycle",E128*MileageBicycle,0))))</f>
      </c>
    </row>
    <row r="129" spans="1:7" x14ac:dyDescent="0.25">
      <c r="A129" s="7"/>
      <c r="B129" s="10"/>
      <c r="C129" s="10"/>
      <c r="D129" s="10"/>
      <c r="E129" s="14"/>
      <c r="F129" s="19">
        <f>IF(D129="Car or van",SUMIFS($E$6:E129,$D$6:D129,"Car or van"),"")</f>
      </c>
      <c r="G129" s="18">
        <f>IF(E129="","",IF(D129="Car or van",(MIN(F129,MileageCarThreshold)-MIN(F129-E129,MileageCarThreshold))*MileageCarFirst+(MAX(F129-MileageCarThreshold,0)-MAX(F129-E129-MileageCarThreshold,0))*MileageCarAfter,IF(D129="Motorcycle",E129*MileageMotorcycle,IF(D129="Bicycle",E129*MileageBicycle,0))))</f>
      </c>
    </row>
    <row r="130" spans="1:7" x14ac:dyDescent="0.25">
      <c r="A130" s="7"/>
      <c r="B130" s="10"/>
      <c r="C130" s="10"/>
      <c r="D130" s="10"/>
      <c r="E130" s="14"/>
      <c r="F130" s="19">
        <f>IF(D130="Car or van",SUMIFS($E$6:E130,$D$6:D130,"Car or van"),"")</f>
      </c>
      <c r="G130" s="18">
        <f>IF(E130="","",IF(D130="Car or van",(MIN(F130,MileageCarThreshold)-MIN(F130-E130,MileageCarThreshold))*MileageCarFirst+(MAX(F130-MileageCarThreshold,0)-MAX(F130-E130-MileageCarThreshold,0))*MileageCarAfter,IF(D130="Motorcycle",E130*MileageMotorcycle,IF(D130="Bicycle",E130*MileageBicycle,0))))</f>
      </c>
    </row>
    <row r="131" spans="1:7" x14ac:dyDescent="0.25">
      <c r="A131" s="7"/>
      <c r="B131" s="10"/>
      <c r="C131" s="10"/>
      <c r="D131" s="10"/>
      <c r="E131" s="14"/>
      <c r="F131" s="19">
        <f>IF(D131="Car or van",SUMIFS($E$6:E131,$D$6:D131,"Car or van"),"")</f>
      </c>
      <c r="G131" s="18">
        <f>IF(E131="","",IF(D131="Car or van",(MIN(F131,MileageCarThreshold)-MIN(F131-E131,MileageCarThreshold))*MileageCarFirst+(MAX(F131-MileageCarThreshold,0)-MAX(F131-E131-MileageCarThreshold,0))*MileageCarAfter,IF(D131="Motorcycle",E131*MileageMotorcycle,IF(D131="Bicycle",E131*MileageBicycle,0))))</f>
      </c>
    </row>
    <row r="132" spans="1:7" x14ac:dyDescent="0.25">
      <c r="A132" s="7"/>
      <c r="B132" s="10"/>
      <c r="C132" s="10"/>
      <c r="D132" s="10"/>
      <c r="E132" s="14"/>
      <c r="F132" s="19">
        <f>IF(D132="Car or van",SUMIFS($E$6:E132,$D$6:D132,"Car or van"),"")</f>
      </c>
      <c r="G132" s="18">
        <f>IF(E132="","",IF(D132="Car or van",(MIN(F132,MileageCarThreshold)-MIN(F132-E132,MileageCarThreshold))*MileageCarFirst+(MAX(F132-MileageCarThreshold,0)-MAX(F132-E132-MileageCarThreshold,0))*MileageCarAfter,IF(D132="Motorcycle",E132*MileageMotorcycle,IF(D132="Bicycle",E132*MileageBicycle,0))))</f>
      </c>
    </row>
    <row r="133" spans="1:7" x14ac:dyDescent="0.25">
      <c r="A133" s="7"/>
      <c r="B133" s="10"/>
      <c r="C133" s="10"/>
      <c r="D133" s="10"/>
      <c r="E133" s="14"/>
      <c r="F133" s="19">
        <f>IF(D133="Car or van",SUMIFS($E$6:E133,$D$6:D133,"Car or van"),"")</f>
      </c>
      <c r="G133" s="18">
        <f>IF(E133="","",IF(D133="Car or van",(MIN(F133,MileageCarThreshold)-MIN(F133-E133,MileageCarThreshold))*MileageCarFirst+(MAX(F133-MileageCarThreshold,0)-MAX(F133-E133-MileageCarThreshold,0))*MileageCarAfter,IF(D133="Motorcycle",E133*MileageMotorcycle,IF(D133="Bicycle",E133*MileageBicycle,0))))</f>
      </c>
    </row>
    <row r="134" spans="1:7" x14ac:dyDescent="0.25">
      <c r="A134" s="7"/>
      <c r="B134" s="10"/>
      <c r="C134" s="10"/>
      <c r="D134" s="10"/>
      <c r="E134" s="14"/>
      <c r="F134" s="19">
        <f>IF(D134="Car or van",SUMIFS($E$6:E134,$D$6:D134,"Car or van"),"")</f>
      </c>
      <c r="G134" s="18">
        <f>IF(E134="","",IF(D134="Car or van",(MIN(F134,MileageCarThreshold)-MIN(F134-E134,MileageCarThreshold))*MileageCarFirst+(MAX(F134-MileageCarThreshold,0)-MAX(F134-E134-MileageCarThreshold,0))*MileageCarAfter,IF(D134="Motorcycle",E134*MileageMotorcycle,IF(D134="Bicycle",E134*MileageBicycle,0))))</f>
      </c>
    </row>
    <row r="135" spans="1:7" x14ac:dyDescent="0.25">
      <c r="A135" s="7"/>
      <c r="B135" s="10"/>
      <c r="C135" s="10"/>
      <c r="D135" s="10"/>
      <c r="E135" s="14"/>
      <c r="F135" s="19">
        <f>IF(D135="Car or van",SUMIFS($E$6:E135,$D$6:D135,"Car or van"),"")</f>
      </c>
      <c r="G135" s="18">
        <f>IF(E135="","",IF(D135="Car or van",(MIN(F135,MileageCarThreshold)-MIN(F135-E135,MileageCarThreshold))*MileageCarFirst+(MAX(F135-MileageCarThreshold,0)-MAX(F135-E135-MileageCarThreshold,0))*MileageCarAfter,IF(D135="Motorcycle",E135*MileageMotorcycle,IF(D135="Bicycle",E135*MileageBicycle,0))))</f>
      </c>
    </row>
    <row r="136" spans="1:7" x14ac:dyDescent="0.25">
      <c r="A136" s="7"/>
      <c r="B136" s="10"/>
      <c r="C136" s="10"/>
      <c r="D136" s="10"/>
      <c r="E136" s="14"/>
      <c r="F136" s="19">
        <f>IF(D136="Car or van",SUMIFS($E$6:E136,$D$6:D136,"Car or van"),"")</f>
      </c>
      <c r="G136" s="18">
        <f>IF(E136="","",IF(D136="Car or van",(MIN(F136,MileageCarThreshold)-MIN(F136-E136,MileageCarThreshold))*MileageCarFirst+(MAX(F136-MileageCarThreshold,0)-MAX(F136-E136-MileageCarThreshold,0))*MileageCarAfter,IF(D136="Motorcycle",E136*MileageMotorcycle,IF(D136="Bicycle",E136*MileageBicycle,0))))</f>
      </c>
    </row>
    <row r="137" spans="1:7" x14ac:dyDescent="0.25">
      <c r="A137" s="7"/>
      <c r="B137" s="10"/>
      <c r="C137" s="10"/>
      <c r="D137" s="10"/>
      <c r="E137" s="14"/>
      <c r="F137" s="19">
        <f>IF(D137="Car or van",SUMIFS($E$6:E137,$D$6:D137,"Car or van"),"")</f>
      </c>
      <c r="G137" s="18">
        <f>IF(E137="","",IF(D137="Car or van",(MIN(F137,MileageCarThreshold)-MIN(F137-E137,MileageCarThreshold))*MileageCarFirst+(MAX(F137-MileageCarThreshold,0)-MAX(F137-E137-MileageCarThreshold,0))*MileageCarAfter,IF(D137="Motorcycle",E137*MileageMotorcycle,IF(D137="Bicycle",E137*MileageBicycle,0))))</f>
      </c>
    </row>
    <row r="138" spans="1:7" x14ac:dyDescent="0.25">
      <c r="A138" s="7"/>
      <c r="B138" s="10"/>
      <c r="C138" s="10"/>
      <c r="D138" s="10"/>
      <c r="E138" s="14"/>
      <c r="F138" s="19">
        <f>IF(D138="Car or van",SUMIFS($E$6:E138,$D$6:D138,"Car or van"),"")</f>
      </c>
      <c r="G138" s="18">
        <f>IF(E138="","",IF(D138="Car or van",(MIN(F138,MileageCarThreshold)-MIN(F138-E138,MileageCarThreshold))*MileageCarFirst+(MAX(F138-MileageCarThreshold,0)-MAX(F138-E138-MileageCarThreshold,0))*MileageCarAfter,IF(D138="Motorcycle",E138*MileageMotorcycle,IF(D138="Bicycle",E138*MileageBicycle,0))))</f>
      </c>
    </row>
    <row r="139" spans="1:7" x14ac:dyDescent="0.25">
      <c r="A139" s="7"/>
      <c r="B139" s="10"/>
      <c r="C139" s="10"/>
      <c r="D139" s="10"/>
      <c r="E139" s="14"/>
      <c r="F139" s="19">
        <f>IF(D139="Car or van",SUMIFS($E$6:E139,$D$6:D139,"Car or van"),"")</f>
      </c>
      <c r="G139" s="18">
        <f>IF(E139="","",IF(D139="Car or van",(MIN(F139,MileageCarThreshold)-MIN(F139-E139,MileageCarThreshold))*MileageCarFirst+(MAX(F139-MileageCarThreshold,0)-MAX(F139-E139-MileageCarThreshold,0))*MileageCarAfter,IF(D139="Motorcycle",E139*MileageMotorcycle,IF(D139="Bicycle",E139*MileageBicycle,0))))</f>
      </c>
    </row>
    <row r="140" spans="1:7" x14ac:dyDescent="0.25">
      <c r="A140" s="7"/>
      <c r="B140" s="10"/>
      <c r="C140" s="10"/>
      <c r="D140" s="10"/>
      <c r="E140" s="14"/>
      <c r="F140" s="19">
        <f>IF(D140="Car or van",SUMIFS($E$6:E140,$D$6:D140,"Car or van"),"")</f>
      </c>
      <c r="G140" s="18">
        <f>IF(E140="","",IF(D140="Car or van",(MIN(F140,MileageCarThreshold)-MIN(F140-E140,MileageCarThreshold))*MileageCarFirst+(MAX(F140-MileageCarThreshold,0)-MAX(F140-E140-MileageCarThreshold,0))*MileageCarAfter,IF(D140="Motorcycle",E140*MileageMotorcycle,IF(D140="Bicycle",E140*MileageBicycle,0))))</f>
      </c>
    </row>
    <row r="141" spans="1:7" x14ac:dyDescent="0.25">
      <c r="A141" s="7"/>
      <c r="B141" s="10"/>
      <c r="C141" s="10"/>
      <c r="D141" s="10"/>
      <c r="E141" s="14"/>
      <c r="F141" s="19">
        <f>IF(D141="Car or van",SUMIFS($E$6:E141,$D$6:D141,"Car or van"),"")</f>
      </c>
      <c r="G141" s="18">
        <f>IF(E141="","",IF(D141="Car or van",(MIN(F141,MileageCarThreshold)-MIN(F141-E141,MileageCarThreshold))*MileageCarFirst+(MAX(F141-MileageCarThreshold,0)-MAX(F141-E141-MileageCarThreshold,0))*MileageCarAfter,IF(D141="Motorcycle",E141*MileageMotorcycle,IF(D141="Bicycle",E141*MileageBicycle,0))))</f>
      </c>
    </row>
    <row r="142" spans="1:7" x14ac:dyDescent="0.25">
      <c r="A142" s="7"/>
      <c r="B142" s="10"/>
      <c r="C142" s="10"/>
      <c r="D142" s="10"/>
      <c r="E142" s="14"/>
      <c r="F142" s="19">
        <f>IF(D142="Car or van",SUMIFS($E$6:E142,$D$6:D142,"Car or van"),"")</f>
      </c>
      <c r="G142" s="18">
        <f>IF(E142="","",IF(D142="Car or van",(MIN(F142,MileageCarThreshold)-MIN(F142-E142,MileageCarThreshold))*MileageCarFirst+(MAX(F142-MileageCarThreshold,0)-MAX(F142-E142-MileageCarThreshold,0))*MileageCarAfter,IF(D142="Motorcycle",E142*MileageMotorcycle,IF(D142="Bicycle",E142*MileageBicycle,0))))</f>
      </c>
    </row>
    <row r="143" spans="1:7" x14ac:dyDescent="0.25">
      <c r="A143" s="7"/>
      <c r="B143" s="10"/>
      <c r="C143" s="10"/>
      <c r="D143" s="10"/>
      <c r="E143" s="14"/>
      <c r="F143" s="19">
        <f>IF(D143="Car or van",SUMIFS($E$6:E143,$D$6:D143,"Car or van"),"")</f>
      </c>
      <c r="G143" s="18">
        <f>IF(E143="","",IF(D143="Car or van",(MIN(F143,MileageCarThreshold)-MIN(F143-E143,MileageCarThreshold))*MileageCarFirst+(MAX(F143-MileageCarThreshold,0)-MAX(F143-E143-MileageCarThreshold,0))*MileageCarAfter,IF(D143="Motorcycle",E143*MileageMotorcycle,IF(D143="Bicycle",E143*MileageBicycle,0))))</f>
      </c>
    </row>
    <row r="144" spans="1:7" x14ac:dyDescent="0.25">
      <c r="A144" s="7"/>
      <c r="B144" s="10"/>
      <c r="C144" s="10"/>
      <c r="D144" s="10"/>
      <c r="E144" s="14"/>
      <c r="F144" s="19">
        <f>IF(D144="Car or van",SUMIFS($E$6:E144,$D$6:D144,"Car or van"),"")</f>
      </c>
      <c r="G144" s="18">
        <f>IF(E144="","",IF(D144="Car or van",(MIN(F144,MileageCarThreshold)-MIN(F144-E144,MileageCarThreshold))*MileageCarFirst+(MAX(F144-MileageCarThreshold,0)-MAX(F144-E144-MileageCarThreshold,0))*MileageCarAfter,IF(D144="Motorcycle",E144*MileageMotorcycle,IF(D144="Bicycle",E144*MileageBicycle,0))))</f>
      </c>
    </row>
    <row r="145" spans="1:7" x14ac:dyDescent="0.25">
      <c r="A145" s="7"/>
      <c r="B145" s="10"/>
      <c r="C145" s="10"/>
      <c r="D145" s="10"/>
      <c r="E145" s="14"/>
      <c r="F145" s="19">
        <f>IF(D145="Car or van",SUMIFS($E$6:E145,$D$6:D145,"Car or van"),"")</f>
      </c>
      <c r="G145" s="18">
        <f>IF(E145="","",IF(D145="Car or van",(MIN(F145,MileageCarThreshold)-MIN(F145-E145,MileageCarThreshold))*MileageCarFirst+(MAX(F145-MileageCarThreshold,0)-MAX(F145-E145-MileageCarThreshold,0))*MileageCarAfter,IF(D145="Motorcycle",E145*MileageMotorcycle,IF(D145="Bicycle",E145*MileageBicycle,0))))</f>
      </c>
    </row>
    <row r="146" spans="1:7" x14ac:dyDescent="0.25">
      <c r="A146" s="7"/>
      <c r="B146" s="10"/>
      <c r="C146" s="10"/>
      <c r="D146" s="10"/>
      <c r="E146" s="14"/>
      <c r="F146" s="19">
        <f>IF(D146="Car or van",SUMIFS($E$6:E146,$D$6:D146,"Car or van"),"")</f>
      </c>
      <c r="G146" s="18">
        <f>IF(E146="","",IF(D146="Car or van",(MIN(F146,MileageCarThreshold)-MIN(F146-E146,MileageCarThreshold))*MileageCarFirst+(MAX(F146-MileageCarThreshold,0)-MAX(F146-E146-MileageCarThreshold,0))*MileageCarAfter,IF(D146="Motorcycle",E146*MileageMotorcycle,IF(D146="Bicycle",E146*MileageBicycle,0))))</f>
      </c>
    </row>
    <row r="147" spans="1:7" x14ac:dyDescent="0.25">
      <c r="A147" s="7"/>
      <c r="B147" s="10"/>
      <c r="C147" s="10"/>
      <c r="D147" s="10"/>
      <c r="E147" s="14"/>
      <c r="F147" s="19">
        <f>IF(D147="Car or van",SUMIFS($E$6:E147,$D$6:D147,"Car or van"),"")</f>
      </c>
      <c r="G147" s="18">
        <f>IF(E147="","",IF(D147="Car or van",(MIN(F147,MileageCarThreshold)-MIN(F147-E147,MileageCarThreshold))*MileageCarFirst+(MAX(F147-MileageCarThreshold,0)-MAX(F147-E147-MileageCarThreshold,0))*MileageCarAfter,IF(D147="Motorcycle",E147*MileageMotorcycle,IF(D147="Bicycle",E147*MileageBicycle,0))))</f>
      </c>
    </row>
    <row r="148" spans="1:7" x14ac:dyDescent="0.25">
      <c r="A148" s="7"/>
      <c r="B148" s="10"/>
      <c r="C148" s="10"/>
      <c r="D148" s="10"/>
      <c r="E148" s="14"/>
      <c r="F148" s="19">
        <f>IF(D148="Car or van",SUMIFS($E$6:E148,$D$6:D148,"Car or van"),"")</f>
      </c>
      <c r="G148" s="18">
        <f>IF(E148="","",IF(D148="Car or van",(MIN(F148,MileageCarThreshold)-MIN(F148-E148,MileageCarThreshold))*MileageCarFirst+(MAX(F148-MileageCarThreshold,0)-MAX(F148-E148-MileageCarThreshold,0))*MileageCarAfter,IF(D148="Motorcycle",E148*MileageMotorcycle,IF(D148="Bicycle",E148*MileageBicycle,0))))</f>
      </c>
    </row>
    <row r="149" spans="1:7" x14ac:dyDescent="0.25">
      <c r="A149" s="7"/>
      <c r="B149" s="10"/>
      <c r="C149" s="10"/>
      <c r="D149" s="10"/>
      <c r="E149" s="14"/>
      <c r="F149" s="19">
        <f>IF(D149="Car or van",SUMIFS($E$6:E149,$D$6:D149,"Car or van"),"")</f>
      </c>
      <c r="G149" s="18">
        <f>IF(E149="","",IF(D149="Car or van",(MIN(F149,MileageCarThreshold)-MIN(F149-E149,MileageCarThreshold))*MileageCarFirst+(MAX(F149-MileageCarThreshold,0)-MAX(F149-E149-MileageCarThreshold,0))*MileageCarAfter,IF(D149="Motorcycle",E149*MileageMotorcycle,IF(D149="Bicycle",E149*MileageBicycle,0))))</f>
      </c>
    </row>
    <row r="150" spans="1:7" x14ac:dyDescent="0.25">
      <c r="A150" s="7"/>
      <c r="B150" s="10"/>
      <c r="C150" s="10"/>
      <c r="D150" s="10"/>
      <c r="E150" s="14"/>
      <c r="F150" s="19">
        <f>IF(D150="Car or van",SUMIFS($E$6:E150,$D$6:D150,"Car or van"),"")</f>
      </c>
      <c r="G150" s="18">
        <f>IF(E150="","",IF(D150="Car or van",(MIN(F150,MileageCarThreshold)-MIN(F150-E150,MileageCarThreshold))*MileageCarFirst+(MAX(F150-MileageCarThreshold,0)-MAX(F150-E150-MileageCarThreshold,0))*MileageCarAfter,IF(D150="Motorcycle",E150*MileageMotorcycle,IF(D150="Bicycle",E150*MileageBicycle,0))))</f>
      </c>
    </row>
    <row r="151" spans="1:7" x14ac:dyDescent="0.25">
      <c r="A151" s="7"/>
      <c r="B151" s="10"/>
      <c r="C151" s="10"/>
      <c r="D151" s="10"/>
      <c r="E151" s="14"/>
      <c r="F151" s="19">
        <f>IF(D151="Car or van",SUMIFS($E$6:E151,$D$6:D151,"Car or van"),"")</f>
      </c>
      <c r="G151" s="18">
        <f>IF(E151="","",IF(D151="Car or van",(MIN(F151,MileageCarThreshold)-MIN(F151-E151,MileageCarThreshold))*MileageCarFirst+(MAX(F151-MileageCarThreshold,0)-MAX(F151-E151-MileageCarThreshold,0))*MileageCarAfter,IF(D151="Motorcycle",E151*MileageMotorcycle,IF(D151="Bicycle",E151*MileageBicycle,0))))</f>
      </c>
    </row>
    <row r="152" spans="1:7" x14ac:dyDescent="0.25">
      <c r="A152" s="7"/>
      <c r="B152" s="10"/>
      <c r="C152" s="10"/>
      <c r="D152" s="10"/>
      <c r="E152" s="14"/>
      <c r="F152" s="19">
        <f>IF(D152="Car or van",SUMIFS($E$6:E152,$D$6:D152,"Car or van"),"")</f>
      </c>
      <c r="G152" s="18">
        <f>IF(E152="","",IF(D152="Car or van",(MIN(F152,MileageCarThreshold)-MIN(F152-E152,MileageCarThreshold))*MileageCarFirst+(MAX(F152-MileageCarThreshold,0)-MAX(F152-E152-MileageCarThreshold,0))*MileageCarAfter,IF(D152="Motorcycle",E152*MileageMotorcycle,IF(D152="Bicycle",E152*MileageBicycle,0))))</f>
      </c>
    </row>
    <row r="153" spans="1:7" x14ac:dyDescent="0.25">
      <c r="A153" s="7"/>
      <c r="B153" s="10"/>
      <c r="C153" s="10"/>
      <c r="D153" s="10"/>
      <c r="E153" s="14"/>
      <c r="F153" s="19">
        <f>IF(D153="Car or van",SUMIFS($E$6:E153,$D$6:D153,"Car or van"),"")</f>
      </c>
      <c r="G153" s="18">
        <f>IF(E153="","",IF(D153="Car or van",(MIN(F153,MileageCarThreshold)-MIN(F153-E153,MileageCarThreshold))*MileageCarFirst+(MAX(F153-MileageCarThreshold,0)-MAX(F153-E153-MileageCarThreshold,0))*MileageCarAfter,IF(D153="Motorcycle",E153*MileageMotorcycle,IF(D153="Bicycle",E153*MileageBicycle,0))))</f>
      </c>
    </row>
    <row r="154" spans="1:7" x14ac:dyDescent="0.25">
      <c r="A154" s="7"/>
      <c r="B154" s="10"/>
      <c r="C154" s="10"/>
      <c r="D154" s="10"/>
      <c r="E154" s="14"/>
      <c r="F154" s="19">
        <f>IF(D154="Car or van",SUMIFS($E$6:E154,$D$6:D154,"Car or van"),"")</f>
      </c>
      <c r="G154" s="18">
        <f>IF(E154="","",IF(D154="Car or van",(MIN(F154,MileageCarThreshold)-MIN(F154-E154,MileageCarThreshold))*MileageCarFirst+(MAX(F154-MileageCarThreshold,0)-MAX(F154-E154-MileageCarThreshold,0))*MileageCarAfter,IF(D154="Motorcycle",E154*MileageMotorcycle,IF(D154="Bicycle",E154*MileageBicycle,0))))</f>
      </c>
    </row>
    <row r="155" spans="1:7" x14ac:dyDescent="0.25">
      <c r="A155" s="7"/>
      <c r="B155" s="10"/>
      <c r="C155" s="10"/>
      <c r="D155" s="10"/>
      <c r="E155" s="14"/>
      <c r="F155" s="19">
        <f>IF(D155="Car or van",SUMIFS($E$6:E155,$D$6:D155,"Car or van"),"")</f>
      </c>
      <c r="G155" s="18">
        <f>IF(E155="","",IF(D155="Car or van",(MIN(F155,MileageCarThreshold)-MIN(F155-E155,MileageCarThreshold))*MileageCarFirst+(MAX(F155-MileageCarThreshold,0)-MAX(F155-E155-MileageCarThreshold,0))*MileageCarAfter,IF(D155="Motorcycle",E155*MileageMotorcycle,IF(D155="Bicycle",E155*MileageBicycle,0))))</f>
      </c>
    </row>
    <row r="156" spans="1:7" x14ac:dyDescent="0.25">
      <c r="A156" s="7"/>
      <c r="B156" s="10"/>
      <c r="C156" s="10"/>
      <c r="D156" s="10"/>
      <c r="E156" s="14"/>
      <c r="F156" s="19">
        <f>IF(D156="Car or van",SUMIFS($E$6:E156,$D$6:D156,"Car or van"),"")</f>
      </c>
      <c r="G156" s="18">
        <f>IF(E156="","",IF(D156="Car or van",(MIN(F156,MileageCarThreshold)-MIN(F156-E156,MileageCarThreshold))*MileageCarFirst+(MAX(F156-MileageCarThreshold,0)-MAX(F156-E156-MileageCarThreshold,0))*MileageCarAfter,IF(D156="Motorcycle",E156*MileageMotorcycle,IF(D156="Bicycle",E156*MileageBicycle,0))))</f>
      </c>
    </row>
    <row r="157" spans="1:7" x14ac:dyDescent="0.25">
      <c r="A157" s="7"/>
      <c r="B157" s="10"/>
      <c r="C157" s="10"/>
      <c r="D157" s="10"/>
      <c r="E157" s="14"/>
      <c r="F157" s="19">
        <f>IF(D157="Car or van",SUMIFS($E$6:E157,$D$6:D157,"Car or van"),"")</f>
      </c>
      <c r="G157" s="18">
        <f>IF(E157="","",IF(D157="Car or van",(MIN(F157,MileageCarThreshold)-MIN(F157-E157,MileageCarThreshold))*MileageCarFirst+(MAX(F157-MileageCarThreshold,0)-MAX(F157-E157-MileageCarThreshold,0))*MileageCarAfter,IF(D157="Motorcycle",E157*MileageMotorcycle,IF(D157="Bicycle",E157*MileageBicycle,0))))</f>
      </c>
    </row>
    <row r="158" spans="1:7" x14ac:dyDescent="0.25">
      <c r="A158" s="7"/>
      <c r="B158" s="10"/>
      <c r="C158" s="10"/>
      <c r="D158" s="10"/>
      <c r="E158" s="14"/>
      <c r="F158" s="19">
        <f>IF(D158="Car or van",SUMIFS($E$6:E158,$D$6:D158,"Car or van"),"")</f>
      </c>
      <c r="G158" s="18">
        <f>IF(E158="","",IF(D158="Car or van",(MIN(F158,MileageCarThreshold)-MIN(F158-E158,MileageCarThreshold))*MileageCarFirst+(MAX(F158-MileageCarThreshold,0)-MAX(F158-E158-MileageCarThreshold,0))*MileageCarAfter,IF(D158="Motorcycle",E158*MileageMotorcycle,IF(D158="Bicycle",E158*MileageBicycle,0))))</f>
      </c>
    </row>
    <row r="159" spans="1:7" x14ac:dyDescent="0.25">
      <c r="A159" s="7"/>
      <c r="B159" s="10"/>
      <c r="C159" s="10"/>
      <c r="D159" s="10"/>
      <c r="E159" s="14"/>
      <c r="F159" s="19">
        <f>IF(D159="Car or van",SUMIFS($E$6:E159,$D$6:D159,"Car or van"),"")</f>
      </c>
      <c r="G159" s="18">
        <f>IF(E159="","",IF(D159="Car or van",(MIN(F159,MileageCarThreshold)-MIN(F159-E159,MileageCarThreshold))*MileageCarFirst+(MAX(F159-MileageCarThreshold,0)-MAX(F159-E159-MileageCarThreshold,0))*MileageCarAfter,IF(D159="Motorcycle",E159*MileageMotorcycle,IF(D159="Bicycle",E159*MileageBicycle,0))))</f>
      </c>
    </row>
    <row r="160" spans="1:7" x14ac:dyDescent="0.25">
      <c r="A160" s="7"/>
      <c r="B160" s="10"/>
      <c r="C160" s="10"/>
      <c r="D160" s="10"/>
      <c r="E160" s="14"/>
      <c r="F160" s="19">
        <f>IF(D160="Car or van",SUMIFS($E$6:E160,$D$6:D160,"Car or van"),"")</f>
      </c>
      <c r="G160" s="18">
        <f>IF(E160="","",IF(D160="Car or van",(MIN(F160,MileageCarThreshold)-MIN(F160-E160,MileageCarThreshold))*MileageCarFirst+(MAX(F160-MileageCarThreshold,0)-MAX(F160-E160-MileageCarThreshold,0))*MileageCarAfter,IF(D160="Motorcycle",E160*MileageMotorcycle,IF(D160="Bicycle",E160*MileageBicycle,0))))</f>
      </c>
    </row>
    <row r="161" spans="1:7" x14ac:dyDescent="0.25">
      <c r="A161" s="7"/>
      <c r="B161" s="10"/>
      <c r="C161" s="10"/>
      <c r="D161" s="10"/>
      <c r="E161" s="14"/>
      <c r="F161" s="19">
        <f>IF(D161="Car or van",SUMIFS($E$6:E161,$D$6:D161,"Car or van"),"")</f>
      </c>
      <c r="G161" s="18">
        <f>IF(E161="","",IF(D161="Car or van",(MIN(F161,MileageCarThreshold)-MIN(F161-E161,MileageCarThreshold))*MileageCarFirst+(MAX(F161-MileageCarThreshold,0)-MAX(F161-E161-MileageCarThreshold,0))*MileageCarAfter,IF(D161="Motorcycle",E161*MileageMotorcycle,IF(D161="Bicycle",E161*MileageBicycle,0))))</f>
      </c>
    </row>
    <row r="162" spans="1:7" x14ac:dyDescent="0.25">
      <c r="A162" s="7"/>
      <c r="B162" s="10"/>
      <c r="C162" s="10"/>
      <c r="D162" s="10"/>
      <c r="E162" s="14"/>
      <c r="F162" s="19">
        <f>IF(D162="Car or van",SUMIFS($E$6:E162,$D$6:D162,"Car or van"),"")</f>
      </c>
      <c r="G162" s="18">
        <f>IF(E162="","",IF(D162="Car or van",(MIN(F162,MileageCarThreshold)-MIN(F162-E162,MileageCarThreshold))*MileageCarFirst+(MAX(F162-MileageCarThreshold,0)-MAX(F162-E162-MileageCarThreshold,0))*MileageCarAfter,IF(D162="Motorcycle",E162*MileageMotorcycle,IF(D162="Bicycle",E162*MileageBicycle,0))))</f>
      </c>
    </row>
    <row r="163" spans="1:7" x14ac:dyDescent="0.25">
      <c r="A163" s="7"/>
      <c r="B163" s="10"/>
      <c r="C163" s="10"/>
      <c r="D163" s="10"/>
      <c r="E163" s="14"/>
      <c r="F163" s="19">
        <f>IF(D163="Car or van",SUMIFS($E$6:E163,$D$6:D163,"Car or van"),"")</f>
      </c>
      <c r="G163" s="18">
        <f>IF(E163="","",IF(D163="Car or van",(MIN(F163,MileageCarThreshold)-MIN(F163-E163,MileageCarThreshold))*MileageCarFirst+(MAX(F163-MileageCarThreshold,0)-MAX(F163-E163-MileageCarThreshold,0))*MileageCarAfter,IF(D163="Motorcycle",E163*MileageMotorcycle,IF(D163="Bicycle",E163*MileageBicycle,0))))</f>
      </c>
    </row>
    <row r="164" spans="1:7" x14ac:dyDescent="0.25">
      <c r="A164" s="7"/>
      <c r="B164" s="10"/>
      <c r="C164" s="10"/>
      <c r="D164" s="10"/>
      <c r="E164" s="14"/>
      <c r="F164" s="19">
        <f>IF(D164="Car or van",SUMIFS($E$6:E164,$D$6:D164,"Car or van"),"")</f>
      </c>
      <c r="G164" s="18">
        <f>IF(E164="","",IF(D164="Car or van",(MIN(F164,MileageCarThreshold)-MIN(F164-E164,MileageCarThreshold))*MileageCarFirst+(MAX(F164-MileageCarThreshold,0)-MAX(F164-E164-MileageCarThreshold,0))*MileageCarAfter,IF(D164="Motorcycle",E164*MileageMotorcycle,IF(D164="Bicycle",E164*MileageBicycle,0))))</f>
      </c>
    </row>
    <row r="165" spans="1:7" x14ac:dyDescent="0.25">
      <c r="A165" s="7"/>
      <c r="B165" s="10"/>
      <c r="C165" s="10"/>
      <c r="D165" s="10"/>
      <c r="E165" s="14"/>
      <c r="F165" s="19">
        <f>IF(D165="Car or van",SUMIFS($E$6:E165,$D$6:D165,"Car or van"),"")</f>
      </c>
      <c r="G165" s="18">
        <f>IF(E165="","",IF(D165="Car or van",(MIN(F165,MileageCarThreshold)-MIN(F165-E165,MileageCarThreshold))*MileageCarFirst+(MAX(F165-MileageCarThreshold,0)-MAX(F165-E165-MileageCarThreshold,0))*MileageCarAfter,IF(D165="Motorcycle",E165*MileageMotorcycle,IF(D165="Bicycle",E165*MileageBicycle,0))))</f>
      </c>
    </row>
    <row r="166" spans="1:7" x14ac:dyDescent="0.25">
      <c r="A166" s="7"/>
      <c r="B166" s="10"/>
      <c r="C166" s="10"/>
      <c r="D166" s="10"/>
      <c r="E166" s="14"/>
      <c r="F166" s="19">
        <f>IF(D166="Car or van",SUMIFS($E$6:E166,$D$6:D166,"Car or van"),"")</f>
      </c>
      <c r="G166" s="18">
        <f>IF(E166="","",IF(D166="Car or van",(MIN(F166,MileageCarThreshold)-MIN(F166-E166,MileageCarThreshold))*MileageCarFirst+(MAX(F166-MileageCarThreshold,0)-MAX(F166-E166-MileageCarThreshold,0))*MileageCarAfter,IF(D166="Motorcycle",E166*MileageMotorcycle,IF(D166="Bicycle",E166*MileageBicycle,0))))</f>
      </c>
    </row>
    <row r="167" spans="1:7" x14ac:dyDescent="0.25">
      <c r="A167" s="7"/>
      <c r="B167" s="10"/>
      <c r="C167" s="10"/>
      <c r="D167" s="10"/>
      <c r="E167" s="14"/>
      <c r="F167" s="19">
        <f>IF(D167="Car or van",SUMIFS($E$6:E167,$D$6:D167,"Car or van"),"")</f>
      </c>
      <c r="G167" s="18">
        <f>IF(E167="","",IF(D167="Car or van",(MIN(F167,MileageCarThreshold)-MIN(F167-E167,MileageCarThreshold))*MileageCarFirst+(MAX(F167-MileageCarThreshold,0)-MAX(F167-E167-MileageCarThreshold,0))*MileageCarAfter,IF(D167="Motorcycle",E167*MileageMotorcycle,IF(D167="Bicycle",E167*MileageBicycle,0))))</f>
      </c>
    </row>
    <row r="168" spans="1:7" x14ac:dyDescent="0.25">
      <c r="A168" s="7"/>
      <c r="B168" s="10"/>
      <c r="C168" s="10"/>
      <c r="D168" s="10"/>
      <c r="E168" s="14"/>
      <c r="F168" s="19">
        <f>IF(D168="Car or van",SUMIFS($E$6:E168,$D$6:D168,"Car or van"),"")</f>
      </c>
      <c r="G168" s="18">
        <f>IF(E168="","",IF(D168="Car or van",(MIN(F168,MileageCarThreshold)-MIN(F168-E168,MileageCarThreshold))*MileageCarFirst+(MAX(F168-MileageCarThreshold,0)-MAX(F168-E168-MileageCarThreshold,0))*MileageCarAfter,IF(D168="Motorcycle",E168*MileageMotorcycle,IF(D168="Bicycle",E168*MileageBicycle,0))))</f>
      </c>
    </row>
    <row r="169" spans="1:7" x14ac:dyDescent="0.25">
      <c r="A169" s="7"/>
      <c r="B169" s="10"/>
      <c r="C169" s="10"/>
      <c r="D169" s="10"/>
      <c r="E169" s="14"/>
      <c r="F169" s="19">
        <f>IF(D169="Car or van",SUMIFS($E$6:E169,$D$6:D169,"Car or van"),"")</f>
      </c>
      <c r="G169" s="18">
        <f>IF(E169="","",IF(D169="Car or van",(MIN(F169,MileageCarThreshold)-MIN(F169-E169,MileageCarThreshold))*MileageCarFirst+(MAX(F169-MileageCarThreshold,0)-MAX(F169-E169-MileageCarThreshold,0))*MileageCarAfter,IF(D169="Motorcycle",E169*MileageMotorcycle,IF(D169="Bicycle",E169*MileageBicycle,0))))</f>
      </c>
    </row>
    <row r="170" spans="1:7" x14ac:dyDescent="0.25">
      <c r="A170" s="7"/>
      <c r="B170" s="10"/>
      <c r="C170" s="10"/>
      <c r="D170" s="10"/>
      <c r="E170" s="14"/>
      <c r="F170" s="19">
        <f>IF(D170="Car or van",SUMIFS($E$6:E170,$D$6:D170,"Car or van"),"")</f>
      </c>
      <c r="G170" s="18">
        <f>IF(E170="","",IF(D170="Car or van",(MIN(F170,MileageCarThreshold)-MIN(F170-E170,MileageCarThreshold))*MileageCarFirst+(MAX(F170-MileageCarThreshold,0)-MAX(F170-E170-MileageCarThreshold,0))*MileageCarAfter,IF(D170="Motorcycle",E170*MileageMotorcycle,IF(D170="Bicycle",E170*MileageBicycle,0))))</f>
      </c>
    </row>
    <row r="171" spans="1:7" x14ac:dyDescent="0.25">
      <c r="A171" s="7"/>
      <c r="B171" s="10"/>
      <c r="C171" s="10"/>
      <c r="D171" s="10"/>
      <c r="E171" s="14"/>
      <c r="F171" s="19">
        <f>IF(D171="Car or van",SUMIFS($E$6:E171,$D$6:D171,"Car or van"),"")</f>
      </c>
      <c r="G171" s="18">
        <f>IF(E171="","",IF(D171="Car or van",(MIN(F171,MileageCarThreshold)-MIN(F171-E171,MileageCarThreshold))*MileageCarFirst+(MAX(F171-MileageCarThreshold,0)-MAX(F171-E171-MileageCarThreshold,0))*MileageCarAfter,IF(D171="Motorcycle",E171*MileageMotorcycle,IF(D171="Bicycle",E171*MileageBicycle,0))))</f>
      </c>
    </row>
    <row r="172" spans="1:7" x14ac:dyDescent="0.25">
      <c r="A172" s="7"/>
      <c r="B172" s="10"/>
      <c r="C172" s="10"/>
      <c r="D172" s="10"/>
      <c r="E172" s="14"/>
      <c r="F172" s="19">
        <f>IF(D172="Car or van",SUMIFS($E$6:E172,$D$6:D172,"Car or van"),"")</f>
      </c>
      <c r="G172" s="18">
        <f>IF(E172="","",IF(D172="Car or van",(MIN(F172,MileageCarThreshold)-MIN(F172-E172,MileageCarThreshold))*MileageCarFirst+(MAX(F172-MileageCarThreshold,0)-MAX(F172-E172-MileageCarThreshold,0))*MileageCarAfter,IF(D172="Motorcycle",E172*MileageMotorcycle,IF(D172="Bicycle",E172*MileageBicycle,0))))</f>
      </c>
    </row>
    <row r="173" spans="1:7" x14ac:dyDescent="0.25">
      <c r="A173" s="7"/>
      <c r="B173" s="10"/>
      <c r="C173" s="10"/>
      <c r="D173" s="10"/>
      <c r="E173" s="14"/>
      <c r="F173" s="19">
        <f>IF(D173="Car or van",SUMIFS($E$6:E173,$D$6:D173,"Car or van"),"")</f>
      </c>
      <c r="G173" s="18">
        <f>IF(E173="","",IF(D173="Car or van",(MIN(F173,MileageCarThreshold)-MIN(F173-E173,MileageCarThreshold))*MileageCarFirst+(MAX(F173-MileageCarThreshold,0)-MAX(F173-E173-MileageCarThreshold,0))*MileageCarAfter,IF(D173="Motorcycle",E173*MileageMotorcycle,IF(D173="Bicycle",E173*MileageBicycle,0))))</f>
      </c>
    </row>
    <row r="174" spans="1:7" x14ac:dyDescent="0.25">
      <c r="A174" s="7"/>
      <c r="B174" s="10"/>
      <c r="C174" s="10"/>
      <c r="D174" s="10"/>
      <c r="E174" s="14"/>
      <c r="F174" s="19">
        <f>IF(D174="Car or van",SUMIFS($E$6:E174,$D$6:D174,"Car or van"),"")</f>
      </c>
      <c r="G174" s="18">
        <f>IF(E174="","",IF(D174="Car or van",(MIN(F174,MileageCarThreshold)-MIN(F174-E174,MileageCarThreshold))*MileageCarFirst+(MAX(F174-MileageCarThreshold,0)-MAX(F174-E174-MileageCarThreshold,0))*MileageCarAfter,IF(D174="Motorcycle",E174*MileageMotorcycle,IF(D174="Bicycle",E174*MileageBicycle,0))))</f>
      </c>
    </row>
    <row r="175" spans="1:7" x14ac:dyDescent="0.25">
      <c r="A175" s="7"/>
      <c r="B175" s="10"/>
      <c r="C175" s="10"/>
      <c r="D175" s="10"/>
      <c r="E175" s="14"/>
      <c r="F175" s="19">
        <f>IF(D175="Car or van",SUMIFS($E$6:E175,$D$6:D175,"Car or van"),"")</f>
      </c>
      <c r="G175" s="18">
        <f>IF(E175="","",IF(D175="Car or van",(MIN(F175,MileageCarThreshold)-MIN(F175-E175,MileageCarThreshold))*MileageCarFirst+(MAX(F175-MileageCarThreshold,0)-MAX(F175-E175-MileageCarThreshold,0))*MileageCarAfter,IF(D175="Motorcycle",E175*MileageMotorcycle,IF(D175="Bicycle",E175*MileageBicycle,0))))</f>
      </c>
    </row>
    <row r="176" spans="1:7" x14ac:dyDescent="0.25">
      <c r="A176" s="7"/>
      <c r="B176" s="10"/>
      <c r="C176" s="10"/>
      <c r="D176" s="10"/>
      <c r="E176" s="14"/>
      <c r="F176" s="19">
        <f>IF(D176="Car or van",SUMIFS($E$6:E176,$D$6:D176,"Car or van"),"")</f>
      </c>
      <c r="G176" s="18">
        <f>IF(E176="","",IF(D176="Car or van",(MIN(F176,MileageCarThreshold)-MIN(F176-E176,MileageCarThreshold))*MileageCarFirst+(MAX(F176-MileageCarThreshold,0)-MAX(F176-E176-MileageCarThreshold,0))*MileageCarAfter,IF(D176="Motorcycle",E176*MileageMotorcycle,IF(D176="Bicycle",E176*MileageBicycle,0))))</f>
      </c>
    </row>
    <row r="177" spans="1:7" x14ac:dyDescent="0.25">
      <c r="A177" s="7"/>
      <c r="B177" s="10"/>
      <c r="C177" s="10"/>
      <c r="D177" s="10"/>
      <c r="E177" s="14"/>
      <c r="F177" s="19">
        <f>IF(D177="Car or van",SUMIFS($E$6:E177,$D$6:D177,"Car or van"),"")</f>
      </c>
      <c r="G177" s="18">
        <f>IF(E177="","",IF(D177="Car or van",(MIN(F177,MileageCarThreshold)-MIN(F177-E177,MileageCarThreshold))*MileageCarFirst+(MAX(F177-MileageCarThreshold,0)-MAX(F177-E177-MileageCarThreshold,0))*MileageCarAfter,IF(D177="Motorcycle",E177*MileageMotorcycle,IF(D177="Bicycle",E177*MileageBicycle,0))))</f>
      </c>
    </row>
    <row r="178" spans="1:7" x14ac:dyDescent="0.25">
      <c r="A178" s="7"/>
      <c r="B178" s="10"/>
      <c r="C178" s="10"/>
      <c r="D178" s="10"/>
      <c r="E178" s="14"/>
      <c r="F178" s="19">
        <f>IF(D178="Car or van",SUMIFS($E$6:E178,$D$6:D178,"Car or van"),"")</f>
      </c>
      <c r="G178" s="18">
        <f>IF(E178="","",IF(D178="Car or van",(MIN(F178,MileageCarThreshold)-MIN(F178-E178,MileageCarThreshold))*MileageCarFirst+(MAX(F178-MileageCarThreshold,0)-MAX(F178-E178-MileageCarThreshold,0))*MileageCarAfter,IF(D178="Motorcycle",E178*MileageMotorcycle,IF(D178="Bicycle",E178*MileageBicycle,0))))</f>
      </c>
    </row>
    <row r="179" spans="1:7" x14ac:dyDescent="0.25">
      <c r="A179" s="7"/>
      <c r="B179" s="10"/>
      <c r="C179" s="10"/>
      <c r="D179" s="10"/>
      <c r="E179" s="14"/>
      <c r="F179" s="19">
        <f>IF(D179="Car or van",SUMIFS($E$6:E179,$D$6:D179,"Car or van"),"")</f>
      </c>
      <c r="G179" s="18">
        <f>IF(E179="","",IF(D179="Car or van",(MIN(F179,MileageCarThreshold)-MIN(F179-E179,MileageCarThreshold))*MileageCarFirst+(MAX(F179-MileageCarThreshold,0)-MAX(F179-E179-MileageCarThreshold,0))*MileageCarAfter,IF(D179="Motorcycle",E179*MileageMotorcycle,IF(D179="Bicycle",E179*MileageBicycle,0))))</f>
      </c>
    </row>
    <row r="180" spans="1:7" x14ac:dyDescent="0.25">
      <c r="A180" s="7"/>
      <c r="B180" s="10"/>
      <c r="C180" s="10"/>
      <c r="D180" s="10"/>
      <c r="E180" s="14"/>
      <c r="F180" s="19">
        <f>IF(D180="Car or van",SUMIFS($E$6:E180,$D$6:D180,"Car or van"),"")</f>
      </c>
      <c r="G180" s="18">
        <f>IF(E180="","",IF(D180="Car or van",(MIN(F180,MileageCarThreshold)-MIN(F180-E180,MileageCarThreshold))*MileageCarFirst+(MAX(F180-MileageCarThreshold,0)-MAX(F180-E180-MileageCarThreshold,0))*MileageCarAfter,IF(D180="Motorcycle",E180*MileageMotorcycle,IF(D180="Bicycle",E180*MileageBicycle,0))))</f>
      </c>
    </row>
    <row r="181" spans="1:7" x14ac:dyDescent="0.25">
      <c r="A181" s="7"/>
      <c r="B181" s="10"/>
      <c r="C181" s="10"/>
      <c r="D181" s="10"/>
      <c r="E181" s="14"/>
      <c r="F181" s="19">
        <f>IF(D181="Car or van",SUMIFS($E$6:E181,$D$6:D181,"Car or van"),"")</f>
      </c>
      <c r="G181" s="18">
        <f>IF(E181="","",IF(D181="Car or van",(MIN(F181,MileageCarThreshold)-MIN(F181-E181,MileageCarThreshold))*MileageCarFirst+(MAX(F181-MileageCarThreshold,0)-MAX(F181-E181-MileageCarThreshold,0))*MileageCarAfter,IF(D181="Motorcycle",E181*MileageMotorcycle,IF(D181="Bicycle",E181*MileageBicycle,0))))</f>
      </c>
    </row>
    <row r="182" spans="1:7" x14ac:dyDescent="0.25">
      <c r="A182" s="7"/>
      <c r="B182" s="10"/>
      <c r="C182" s="10"/>
      <c r="D182" s="10"/>
      <c r="E182" s="14"/>
      <c r="F182" s="19">
        <f>IF(D182="Car or van",SUMIFS($E$6:E182,$D$6:D182,"Car or van"),"")</f>
      </c>
      <c r="G182" s="18">
        <f>IF(E182="","",IF(D182="Car or van",(MIN(F182,MileageCarThreshold)-MIN(F182-E182,MileageCarThreshold))*MileageCarFirst+(MAX(F182-MileageCarThreshold,0)-MAX(F182-E182-MileageCarThreshold,0))*MileageCarAfter,IF(D182="Motorcycle",E182*MileageMotorcycle,IF(D182="Bicycle",E182*MileageBicycle,0))))</f>
      </c>
    </row>
    <row r="183" spans="1:7" x14ac:dyDescent="0.25">
      <c r="A183" s="7"/>
      <c r="B183" s="10"/>
      <c r="C183" s="10"/>
      <c r="D183" s="10"/>
      <c r="E183" s="14"/>
      <c r="F183" s="19">
        <f>IF(D183="Car or van",SUMIFS($E$6:E183,$D$6:D183,"Car or van"),"")</f>
      </c>
      <c r="G183" s="18">
        <f>IF(E183="","",IF(D183="Car or van",(MIN(F183,MileageCarThreshold)-MIN(F183-E183,MileageCarThreshold))*MileageCarFirst+(MAX(F183-MileageCarThreshold,0)-MAX(F183-E183-MileageCarThreshold,0))*MileageCarAfter,IF(D183="Motorcycle",E183*MileageMotorcycle,IF(D183="Bicycle",E183*MileageBicycle,0))))</f>
      </c>
    </row>
    <row r="184" spans="1:7" x14ac:dyDescent="0.25">
      <c r="A184" s="7"/>
      <c r="B184" s="10"/>
      <c r="C184" s="10"/>
      <c r="D184" s="10"/>
      <c r="E184" s="14"/>
      <c r="F184" s="19">
        <f>IF(D184="Car or van",SUMIFS($E$6:E184,$D$6:D184,"Car or van"),"")</f>
      </c>
      <c r="G184" s="18">
        <f>IF(E184="","",IF(D184="Car or van",(MIN(F184,MileageCarThreshold)-MIN(F184-E184,MileageCarThreshold))*MileageCarFirst+(MAX(F184-MileageCarThreshold,0)-MAX(F184-E184-MileageCarThreshold,0))*MileageCarAfter,IF(D184="Motorcycle",E184*MileageMotorcycle,IF(D184="Bicycle",E184*MileageBicycle,0))))</f>
      </c>
    </row>
    <row r="185" spans="1:7" x14ac:dyDescent="0.25">
      <c r="A185" s="7"/>
      <c r="B185" s="10"/>
      <c r="C185" s="10"/>
      <c r="D185" s="10"/>
      <c r="E185" s="14"/>
      <c r="F185" s="19">
        <f>IF(D185="Car or van",SUMIFS($E$6:E185,$D$6:D185,"Car or van"),"")</f>
      </c>
      <c r="G185" s="18">
        <f>IF(E185="","",IF(D185="Car or van",(MIN(F185,MileageCarThreshold)-MIN(F185-E185,MileageCarThreshold))*MileageCarFirst+(MAX(F185-MileageCarThreshold,0)-MAX(F185-E185-MileageCarThreshold,0))*MileageCarAfter,IF(D185="Motorcycle",E185*MileageMotorcycle,IF(D185="Bicycle",E185*MileageBicycle,0))))</f>
      </c>
    </row>
    <row r="186" spans="1:7" x14ac:dyDescent="0.25">
      <c r="A186" s="7"/>
      <c r="B186" s="10"/>
      <c r="C186" s="10"/>
      <c r="D186" s="10"/>
      <c r="E186" s="14"/>
      <c r="F186" s="19">
        <f>IF(D186="Car or van",SUMIFS($E$6:E186,$D$6:D186,"Car or van"),"")</f>
      </c>
      <c r="G186" s="18">
        <f>IF(E186="","",IF(D186="Car or van",(MIN(F186,MileageCarThreshold)-MIN(F186-E186,MileageCarThreshold))*MileageCarFirst+(MAX(F186-MileageCarThreshold,0)-MAX(F186-E186-MileageCarThreshold,0))*MileageCarAfter,IF(D186="Motorcycle",E186*MileageMotorcycle,IF(D186="Bicycle",E186*MileageBicycle,0))))</f>
      </c>
    </row>
    <row r="187" spans="1:7" x14ac:dyDescent="0.25">
      <c r="A187" s="7"/>
      <c r="B187" s="10"/>
      <c r="C187" s="10"/>
      <c r="D187" s="10"/>
      <c r="E187" s="14"/>
      <c r="F187" s="19">
        <f>IF(D187="Car or van",SUMIFS($E$6:E187,$D$6:D187,"Car or van"),"")</f>
      </c>
      <c r="G187" s="18">
        <f>IF(E187="","",IF(D187="Car or van",(MIN(F187,MileageCarThreshold)-MIN(F187-E187,MileageCarThreshold))*MileageCarFirst+(MAX(F187-MileageCarThreshold,0)-MAX(F187-E187-MileageCarThreshold,0))*MileageCarAfter,IF(D187="Motorcycle",E187*MileageMotorcycle,IF(D187="Bicycle",E187*MileageBicycle,0))))</f>
      </c>
    </row>
    <row r="188" spans="1:7" x14ac:dyDescent="0.25">
      <c r="A188" s="7"/>
      <c r="B188" s="10"/>
      <c r="C188" s="10"/>
      <c r="D188" s="10"/>
      <c r="E188" s="14"/>
      <c r="F188" s="19">
        <f>IF(D188="Car or van",SUMIFS($E$6:E188,$D$6:D188,"Car or van"),"")</f>
      </c>
      <c r="G188" s="18">
        <f>IF(E188="","",IF(D188="Car or van",(MIN(F188,MileageCarThreshold)-MIN(F188-E188,MileageCarThreshold))*MileageCarFirst+(MAX(F188-MileageCarThreshold,0)-MAX(F188-E188-MileageCarThreshold,0))*MileageCarAfter,IF(D188="Motorcycle",E188*MileageMotorcycle,IF(D188="Bicycle",E188*MileageBicycle,0))))</f>
      </c>
    </row>
    <row r="189" spans="1:7" x14ac:dyDescent="0.25">
      <c r="A189" s="7"/>
      <c r="B189" s="10"/>
      <c r="C189" s="10"/>
      <c r="D189" s="10"/>
      <c r="E189" s="14"/>
      <c r="F189" s="19">
        <f>IF(D189="Car or van",SUMIFS($E$6:E189,$D$6:D189,"Car or van"),"")</f>
      </c>
      <c r="G189" s="18">
        <f>IF(E189="","",IF(D189="Car or van",(MIN(F189,MileageCarThreshold)-MIN(F189-E189,MileageCarThreshold))*MileageCarFirst+(MAX(F189-MileageCarThreshold,0)-MAX(F189-E189-MileageCarThreshold,0))*MileageCarAfter,IF(D189="Motorcycle",E189*MileageMotorcycle,IF(D189="Bicycle",E189*MileageBicycle,0))))</f>
      </c>
    </row>
    <row r="190" spans="1:7" x14ac:dyDescent="0.25">
      <c r="A190" s="7"/>
      <c r="B190" s="10"/>
      <c r="C190" s="10"/>
      <c r="D190" s="10"/>
      <c r="E190" s="14"/>
      <c r="F190" s="19">
        <f>IF(D190="Car or van",SUMIFS($E$6:E190,$D$6:D190,"Car or van"),"")</f>
      </c>
      <c r="G190" s="18">
        <f>IF(E190="","",IF(D190="Car or van",(MIN(F190,MileageCarThreshold)-MIN(F190-E190,MileageCarThreshold))*MileageCarFirst+(MAX(F190-MileageCarThreshold,0)-MAX(F190-E190-MileageCarThreshold,0))*MileageCarAfter,IF(D190="Motorcycle",E190*MileageMotorcycle,IF(D190="Bicycle",E190*MileageBicycle,0))))</f>
      </c>
    </row>
    <row r="191" spans="1:7" x14ac:dyDescent="0.25">
      <c r="A191" s="7"/>
      <c r="B191" s="10"/>
      <c r="C191" s="10"/>
      <c r="D191" s="10"/>
      <c r="E191" s="14"/>
      <c r="F191" s="19">
        <f>IF(D191="Car or van",SUMIFS($E$6:E191,$D$6:D191,"Car or van"),"")</f>
      </c>
      <c r="G191" s="18">
        <f>IF(E191="","",IF(D191="Car or van",(MIN(F191,MileageCarThreshold)-MIN(F191-E191,MileageCarThreshold))*MileageCarFirst+(MAX(F191-MileageCarThreshold,0)-MAX(F191-E191-MileageCarThreshold,0))*MileageCarAfter,IF(D191="Motorcycle",E191*MileageMotorcycle,IF(D191="Bicycle",E191*MileageBicycle,0))))</f>
      </c>
    </row>
    <row r="192" spans="1:7" x14ac:dyDescent="0.25">
      <c r="A192" s="7"/>
      <c r="B192" s="10"/>
      <c r="C192" s="10"/>
      <c r="D192" s="10"/>
      <c r="E192" s="14"/>
      <c r="F192" s="19">
        <f>IF(D192="Car or van",SUMIFS($E$6:E192,$D$6:D192,"Car or van"),"")</f>
      </c>
      <c r="G192" s="18">
        <f>IF(E192="","",IF(D192="Car or van",(MIN(F192,MileageCarThreshold)-MIN(F192-E192,MileageCarThreshold))*MileageCarFirst+(MAX(F192-MileageCarThreshold,0)-MAX(F192-E192-MileageCarThreshold,0))*MileageCarAfter,IF(D192="Motorcycle",E192*MileageMotorcycle,IF(D192="Bicycle",E192*MileageBicycle,0))))</f>
      </c>
    </row>
    <row r="193" spans="1:7" x14ac:dyDescent="0.25">
      <c r="A193" s="7"/>
      <c r="B193" s="10"/>
      <c r="C193" s="10"/>
      <c r="D193" s="10"/>
      <c r="E193" s="14"/>
      <c r="F193" s="19">
        <f>IF(D193="Car or van",SUMIFS($E$6:E193,$D$6:D193,"Car or van"),"")</f>
      </c>
      <c r="G193" s="18">
        <f>IF(E193="","",IF(D193="Car or van",(MIN(F193,MileageCarThreshold)-MIN(F193-E193,MileageCarThreshold))*MileageCarFirst+(MAX(F193-MileageCarThreshold,0)-MAX(F193-E193-MileageCarThreshold,0))*MileageCarAfter,IF(D193="Motorcycle",E193*MileageMotorcycle,IF(D193="Bicycle",E193*MileageBicycle,0))))</f>
      </c>
    </row>
    <row r="194" spans="1:7" x14ac:dyDescent="0.25">
      <c r="A194" s="7"/>
      <c r="B194" s="10"/>
      <c r="C194" s="10"/>
      <c r="D194" s="10"/>
      <c r="E194" s="14"/>
      <c r="F194" s="19">
        <f>IF(D194="Car or van",SUMIFS($E$6:E194,$D$6:D194,"Car or van"),"")</f>
      </c>
      <c r="G194" s="18">
        <f>IF(E194="","",IF(D194="Car or van",(MIN(F194,MileageCarThreshold)-MIN(F194-E194,MileageCarThreshold))*MileageCarFirst+(MAX(F194-MileageCarThreshold,0)-MAX(F194-E194-MileageCarThreshold,0))*MileageCarAfter,IF(D194="Motorcycle",E194*MileageMotorcycle,IF(D194="Bicycle",E194*MileageBicycle,0))))</f>
      </c>
    </row>
    <row r="195" spans="1:7" x14ac:dyDescent="0.25">
      <c r="A195" s="7"/>
      <c r="B195" s="10"/>
      <c r="C195" s="10"/>
      <c r="D195" s="10"/>
      <c r="E195" s="14"/>
      <c r="F195" s="19">
        <f>IF(D195="Car or van",SUMIFS($E$6:E195,$D$6:D195,"Car or van"),"")</f>
      </c>
      <c r="G195" s="18">
        <f>IF(E195="","",IF(D195="Car or van",(MIN(F195,MileageCarThreshold)-MIN(F195-E195,MileageCarThreshold))*MileageCarFirst+(MAX(F195-MileageCarThreshold,0)-MAX(F195-E195-MileageCarThreshold,0))*MileageCarAfter,IF(D195="Motorcycle",E195*MileageMotorcycle,IF(D195="Bicycle",E195*MileageBicycle,0))))</f>
      </c>
    </row>
    <row r="196" spans="1:7" x14ac:dyDescent="0.25">
      <c r="A196" s="7"/>
      <c r="B196" s="10"/>
      <c r="C196" s="10"/>
      <c r="D196" s="10"/>
      <c r="E196" s="14"/>
      <c r="F196" s="19">
        <f>IF(D196="Car or van",SUMIFS($E$6:E196,$D$6:D196,"Car or van"),"")</f>
      </c>
      <c r="G196" s="18">
        <f>IF(E196="","",IF(D196="Car or van",(MIN(F196,MileageCarThreshold)-MIN(F196-E196,MileageCarThreshold))*MileageCarFirst+(MAX(F196-MileageCarThreshold,0)-MAX(F196-E196-MileageCarThreshold,0))*MileageCarAfter,IF(D196="Motorcycle",E196*MileageMotorcycle,IF(D196="Bicycle",E196*MileageBicycle,0))))</f>
      </c>
    </row>
    <row r="197" spans="1:7" x14ac:dyDescent="0.25">
      <c r="A197" s="7"/>
      <c r="B197" s="10"/>
      <c r="C197" s="10"/>
      <c r="D197" s="10"/>
      <c r="E197" s="14"/>
      <c r="F197" s="19">
        <f>IF(D197="Car or van",SUMIFS($E$6:E197,$D$6:D197,"Car or van"),"")</f>
      </c>
      <c r="G197" s="18">
        <f>IF(E197="","",IF(D197="Car or van",(MIN(F197,MileageCarThreshold)-MIN(F197-E197,MileageCarThreshold))*MileageCarFirst+(MAX(F197-MileageCarThreshold,0)-MAX(F197-E197-MileageCarThreshold,0))*MileageCarAfter,IF(D197="Motorcycle",E197*MileageMotorcycle,IF(D197="Bicycle",E197*MileageBicycle,0))))</f>
      </c>
    </row>
    <row r="198" spans="1:7" x14ac:dyDescent="0.25">
      <c r="A198" s="7"/>
      <c r="B198" s="10"/>
      <c r="C198" s="10"/>
      <c r="D198" s="10"/>
      <c r="E198" s="14"/>
      <c r="F198" s="19">
        <f>IF(D198="Car or van",SUMIFS($E$6:E198,$D$6:D198,"Car or van"),"")</f>
      </c>
      <c r="G198" s="18">
        <f>IF(E198="","",IF(D198="Car or van",(MIN(F198,MileageCarThreshold)-MIN(F198-E198,MileageCarThreshold))*MileageCarFirst+(MAX(F198-MileageCarThreshold,0)-MAX(F198-E198-MileageCarThreshold,0))*MileageCarAfter,IF(D198="Motorcycle",E198*MileageMotorcycle,IF(D198="Bicycle",E198*MileageBicycle,0))))</f>
      </c>
    </row>
    <row r="199" spans="1:7" x14ac:dyDescent="0.25">
      <c r="A199" s="7"/>
      <c r="B199" s="10"/>
      <c r="C199" s="10"/>
      <c r="D199" s="10"/>
      <c r="E199" s="14"/>
      <c r="F199" s="19">
        <f>IF(D199="Car or van",SUMIFS($E$6:E199,$D$6:D199,"Car or van"),"")</f>
      </c>
      <c r="G199" s="18">
        <f>IF(E199="","",IF(D199="Car or van",(MIN(F199,MileageCarThreshold)-MIN(F199-E199,MileageCarThreshold))*MileageCarFirst+(MAX(F199-MileageCarThreshold,0)-MAX(F199-E199-MileageCarThreshold,0))*MileageCarAfter,IF(D199="Motorcycle",E199*MileageMotorcycle,IF(D199="Bicycle",E199*MileageBicycle,0))))</f>
      </c>
    </row>
    <row r="200" spans="1:7" x14ac:dyDescent="0.25">
      <c r="A200" s="7"/>
      <c r="B200" s="10"/>
      <c r="C200" s="10"/>
      <c r="D200" s="10"/>
      <c r="E200" s="14"/>
      <c r="F200" s="19">
        <f>IF(D200="Car or van",SUMIFS($E$6:E200,$D$6:D200,"Car or van"),"")</f>
      </c>
      <c r="G200" s="18">
        <f>IF(E200="","",IF(D200="Car or van",(MIN(F200,MileageCarThreshold)-MIN(F200-E200,MileageCarThreshold))*MileageCarFirst+(MAX(F200-MileageCarThreshold,0)-MAX(F200-E200-MileageCarThreshold,0))*MileageCarAfter,IF(D200="Motorcycle",E200*MileageMotorcycle,IF(D200="Bicycle",E200*MileageBicycle,0))))</f>
      </c>
    </row>
    <row r="201" spans="1:7" x14ac:dyDescent="0.25">
      <c r="A201" s="7"/>
      <c r="B201" s="10"/>
      <c r="C201" s="10"/>
      <c r="D201" s="10"/>
      <c r="E201" s="14"/>
      <c r="F201" s="19">
        <f>IF(D201="Car or van",SUMIFS($E$6:E201,$D$6:D201,"Car or van"),"")</f>
      </c>
      <c r="G201" s="18">
        <f>IF(E201="","",IF(D201="Car or van",(MIN(F201,MileageCarThreshold)-MIN(F201-E201,MileageCarThreshold))*MileageCarFirst+(MAX(F201-MileageCarThreshold,0)-MAX(F201-E201-MileageCarThreshold,0))*MileageCarAfter,IF(D201="Motorcycle",E201*MileageMotorcycle,IF(D201="Bicycle",E201*MileageBicycle,0))))</f>
      </c>
    </row>
    <row r="202" spans="1:7" x14ac:dyDescent="0.25">
      <c r="A202" s="7"/>
      <c r="B202" s="10"/>
      <c r="C202" s="10"/>
      <c r="D202" s="10"/>
      <c r="E202" s="14"/>
      <c r="F202" s="19">
        <f>IF(D202="Car or van",SUMIFS($E$6:E202,$D$6:D202,"Car or van"),"")</f>
      </c>
      <c r="G202" s="18">
        <f>IF(E202="","",IF(D202="Car or van",(MIN(F202,MileageCarThreshold)-MIN(F202-E202,MileageCarThreshold))*MileageCarFirst+(MAX(F202-MileageCarThreshold,0)-MAX(F202-E202-MileageCarThreshold,0))*MileageCarAfter,IF(D202="Motorcycle",E202*MileageMotorcycle,IF(D202="Bicycle",E202*MileageBicycle,0))))</f>
      </c>
    </row>
    <row r="203" spans="1:7" x14ac:dyDescent="0.25">
      <c r="A203" s="7"/>
      <c r="B203" s="10"/>
      <c r="C203" s="10"/>
      <c r="D203" s="10"/>
      <c r="E203" s="14"/>
      <c r="F203" s="19">
        <f>IF(D203="Car or van",SUMIFS($E$6:E203,$D$6:D203,"Car or van"),"")</f>
      </c>
      <c r="G203" s="18">
        <f>IF(E203="","",IF(D203="Car or van",(MIN(F203,MileageCarThreshold)-MIN(F203-E203,MileageCarThreshold))*MileageCarFirst+(MAX(F203-MileageCarThreshold,0)-MAX(F203-E203-MileageCarThreshold,0))*MileageCarAfter,IF(D203="Motorcycle",E203*MileageMotorcycle,IF(D203="Bicycle",E203*MileageBicycle,0))))</f>
      </c>
    </row>
    <row r="204" spans="1:7" x14ac:dyDescent="0.25">
      <c r="A204" s="7"/>
      <c r="B204" s="10"/>
      <c r="C204" s="10"/>
      <c r="D204" s="10"/>
      <c r="E204" s="14"/>
      <c r="F204" s="19">
        <f>IF(D204="Car or van",SUMIFS($E$6:E204,$D$6:D204,"Car or van"),"")</f>
      </c>
      <c r="G204" s="18">
        <f>IF(E204="","",IF(D204="Car or van",(MIN(F204,MileageCarThreshold)-MIN(F204-E204,MileageCarThreshold))*MileageCarFirst+(MAX(F204-MileageCarThreshold,0)-MAX(F204-E204-MileageCarThreshold,0))*MileageCarAfter,IF(D204="Motorcycle",E204*MileageMotorcycle,IF(D204="Bicycle",E204*MileageBicycle,0))))</f>
      </c>
    </row>
    <row r="205" spans="1:7" x14ac:dyDescent="0.25">
      <c r="A205" s="7"/>
      <c r="B205" s="10"/>
      <c r="C205" s="10"/>
      <c r="D205" s="10"/>
      <c r="E205" s="14"/>
      <c r="F205" s="19">
        <f>IF(D205="Car or van",SUMIFS($E$6:E205,$D$6:D205,"Car or van"),"")</f>
      </c>
      <c r="G205" s="18">
        <f>IF(E205="","",IF(D205="Car or van",(MIN(F205,MileageCarThreshold)-MIN(F205-E205,MileageCarThreshold))*MileageCarFirst+(MAX(F205-MileageCarThreshold,0)-MAX(F205-E205-MileageCarThreshold,0))*MileageCarAfter,IF(D205="Motorcycle",E205*MileageMotorcycle,IF(D205="Bicycle",E205*MileageBicycle,0))))</f>
      </c>
    </row>
    <row r="206" spans="1:7" x14ac:dyDescent="0.25">
      <c r="A206" s="7"/>
      <c r="B206" s="10"/>
      <c r="C206" s="10"/>
      <c r="D206" s="10"/>
      <c r="E206" s="14"/>
      <c r="F206" s="19">
        <f>IF(D206="Car or van",SUMIFS($E$6:E206,$D$6:D206,"Car or van"),"")</f>
      </c>
      <c r="G206" s="18">
        <f>IF(E206="","",IF(D206="Car or van",(MIN(F206,MileageCarThreshold)-MIN(F206-E206,MileageCarThreshold))*MileageCarFirst+(MAX(F206-MileageCarThreshold,0)-MAX(F206-E206-MileageCarThreshold,0))*MileageCarAfter,IF(D206="Motorcycle",E206*MileageMotorcycle,IF(D206="Bicycle",E206*MileageBicycle,0))))</f>
      </c>
    </row>
    <row r="207" spans="1:7" x14ac:dyDescent="0.25">
      <c r="A207" s="7"/>
      <c r="B207" s="10"/>
      <c r="C207" s="10"/>
      <c r="D207" s="10"/>
      <c r="E207" s="14"/>
      <c r="F207" s="19">
        <f>IF(D207="Car or van",SUMIFS($E$6:E207,$D$6:D207,"Car or van"),"")</f>
      </c>
      <c r="G207" s="18">
        <f>IF(E207="","",IF(D207="Car or van",(MIN(F207,MileageCarThreshold)-MIN(F207-E207,MileageCarThreshold))*MileageCarFirst+(MAX(F207-MileageCarThreshold,0)-MAX(F207-E207-MileageCarThreshold,0))*MileageCarAfter,IF(D207="Motorcycle",E207*MileageMotorcycle,IF(D207="Bicycle",E207*MileageBicycle,0))))</f>
      </c>
    </row>
    <row r="208" spans="1:7" x14ac:dyDescent="0.25">
      <c r="A208" s="7"/>
      <c r="B208" s="10"/>
      <c r="C208" s="10"/>
      <c r="D208" s="10"/>
      <c r="E208" s="14"/>
      <c r="F208" s="19">
        <f>IF(D208="Car or van",SUMIFS($E$6:E208,$D$6:D208,"Car or van"),"")</f>
      </c>
      <c r="G208" s="18">
        <f>IF(E208="","",IF(D208="Car or van",(MIN(F208,MileageCarThreshold)-MIN(F208-E208,MileageCarThreshold))*MileageCarFirst+(MAX(F208-MileageCarThreshold,0)-MAX(F208-E208-MileageCarThreshold,0))*MileageCarAfter,IF(D208="Motorcycle",E208*MileageMotorcycle,IF(D208="Bicycle",E208*MileageBicycle,0))))</f>
      </c>
    </row>
    <row r="209" spans="1:7" x14ac:dyDescent="0.25">
      <c r="A209" s="7"/>
      <c r="B209" s="10"/>
      <c r="C209" s="10"/>
      <c r="D209" s="10"/>
      <c r="E209" s="14"/>
      <c r="F209" s="19">
        <f>IF(D209="Car or van",SUMIFS($E$6:E209,$D$6:D209,"Car or van"),"")</f>
      </c>
      <c r="G209" s="18">
        <f>IF(E209="","",IF(D209="Car or van",(MIN(F209,MileageCarThreshold)-MIN(F209-E209,MileageCarThreshold))*MileageCarFirst+(MAX(F209-MileageCarThreshold,0)-MAX(F209-E209-MileageCarThreshold,0))*MileageCarAfter,IF(D209="Motorcycle",E209*MileageMotorcycle,IF(D209="Bicycle",E209*MileageBicycle,0))))</f>
      </c>
    </row>
    <row r="210" spans="1:7" x14ac:dyDescent="0.25">
      <c r="A210" s="7"/>
      <c r="B210" s="10"/>
      <c r="C210" s="10"/>
      <c r="D210" s="10"/>
      <c r="E210" s="14"/>
      <c r="F210" s="19">
        <f>IF(D210="Car or van",SUMIFS($E$6:E210,$D$6:D210,"Car or van"),"")</f>
      </c>
      <c r="G210" s="18">
        <f>IF(E210="","",IF(D210="Car or van",(MIN(F210,MileageCarThreshold)-MIN(F210-E210,MileageCarThreshold))*MileageCarFirst+(MAX(F210-MileageCarThreshold,0)-MAX(F210-E210-MileageCarThreshold,0))*MileageCarAfter,IF(D210="Motorcycle",E210*MileageMotorcycle,IF(D210="Bicycle",E210*MileageBicycle,0))))</f>
      </c>
    </row>
    <row r="211" spans="1:7" x14ac:dyDescent="0.25">
      <c r="A211" s="7"/>
      <c r="B211" s="10"/>
      <c r="C211" s="10"/>
      <c r="D211" s="10"/>
      <c r="E211" s="14"/>
      <c r="F211" s="19">
        <f>IF(D211="Car or van",SUMIFS($E$6:E211,$D$6:D211,"Car or van"),"")</f>
      </c>
      <c r="G211" s="18">
        <f>IF(E211="","",IF(D211="Car or van",(MIN(F211,MileageCarThreshold)-MIN(F211-E211,MileageCarThreshold))*MileageCarFirst+(MAX(F211-MileageCarThreshold,0)-MAX(F211-E211-MileageCarThreshold,0))*MileageCarAfter,IF(D211="Motorcycle",E211*MileageMotorcycle,IF(D211="Bicycle",E211*MileageBicycle,0))))</f>
      </c>
    </row>
    <row r="212" spans="1:7" x14ac:dyDescent="0.25">
      <c r="A212" s="7"/>
      <c r="B212" s="10"/>
      <c r="C212" s="10"/>
      <c r="D212" s="10"/>
      <c r="E212" s="14"/>
      <c r="F212" s="19">
        <f>IF(D212="Car or van",SUMIFS($E$6:E212,$D$6:D212,"Car or van"),"")</f>
      </c>
      <c r="G212" s="18">
        <f>IF(E212="","",IF(D212="Car or van",(MIN(F212,MileageCarThreshold)-MIN(F212-E212,MileageCarThreshold))*MileageCarFirst+(MAX(F212-MileageCarThreshold,0)-MAX(F212-E212-MileageCarThreshold,0))*MileageCarAfter,IF(D212="Motorcycle",E212*MileageMotorcycle,IF(D212="Bicycle",E212*MileageBicycle,0))))</f>
      </c>
    </row>
    <row r="213" spans="1:7" x14ac:dyDescent="0.25">
      <c r="A213" s="7"/>
      <c r="B213" s="10"/>
      <c r="C213" s="10"/>
      <c r="D213" s="10"/>
      <c r="E213" s="14"/>
      <c r="F213" s="19">
        <f>IF(D213="Car or van",SUMIFS($E$6:E213,$D$6:D213,"Car or van"),"")</f>
      </c>
      <c r="G213" s="18">
        <f>IF(E213="","",IF(D213="Car or van",(MIN(F213,MileageCarThreshold)-MIN(F213-E213,MileageCarThreshold))*MileageCarFirst+(MAX(F213-MileageCarThreshold,0)-MAX(F213-E213-MileageCarThreshold,0))*MileageCarAfter,IF(D213="Motorcycle",E213*MileageMotorcycle,IF(D213="Bicycle",E213*MileageBicycle,0))))</f>
      </c>
    </row>
    <row r="214" spans="1:7" x14ac:dyDescent="0.25">
      <c r="A214" s="7"/>
      <c r="B214" s="10"/>
      <c r="C214" s="10"/>
      <c r="D214" s="10"/>
      <c r="E214" s="14"/>
      <c r="F214" s="19">
        <f>IF(D214="Car or van",SUMIFS($E$6:E214,$D$6:D214,"Car or van"),"")</f>
      </c>
      <c r="G214" s="18">
        <f>IF(E214="","",IF(D214="Car or van",(MIN(F214,MileageCarThreshold)-MIN(F214-E214,MileageCarThreshold))*MileageCarFirst+(MAX(F214-MileageCarThreshold,0)-MAX(F214-E214-MileageCarThreshold,0))*MileageCarAfter,IF(D214="Motorcycle",E214*MileageMotorcycle,IF(D214="Bicycle",E214*MileageBicycle,0))))</f>
      </c>
    </row>
    <row r="215" spans="1:7" x14ac:dyDescent="0.25">
      <c r="A215" s="7"/>
      <c r="B215" s="10"/>
      <c r="C215" s="10"/>
      <c r="D215" s="10"/>
      <c r="E215" s="14"/>
      <c r="F215" s="19">
        <f>IF(D215="Car or van",SUMIFS($E$6:E215,$D$6:D215,"Car or van"),"")</f>
      </c>
      <c r="G215" s="18">
        <f>IF(E215="","",IF(D215="Car or van",(MIN(F215,MileageCarThreshold)-MIN(F215-E215,MileageCarThreshold))*MileageCarFirst+(MAX(F215-MileageCarThreshold,0)-MAX(F215-E215-MileageCarThreshold,0))*MileageCarAfter,IF(D215="Motorcycle",E215*MileageMotorcycle,IF(D215="Bicycle",E215*MileageBicycle,0))))</f>
      </c>
    </row>
    <row r="216" spans="1:7" x14ac:dyDescent="0.25">
      <c r="A216" s="7"/>
      <c r="B216" s="10"/>
      <c r="C216" s="10"/>
      <c r="D216" s="10"/>
      <c r="E216" s="14"/>
      <c r="F216" s="19">
        <f>IF(D216="Car or van",SUMIFS($E$6:E216,$D$6:D216,"Car or van"),"")</f>
      </c>
      <c r="G216" s="18">
        <f>IF(E216="","",IF(D216="Car or van",(MIN(F216,MileageCarThreshold)-MIN(F216-E216,MileageCarThreshold))*MileageCarFirst+(MAX(F216-MileageCarThreshold,0)-MAX(F216-E216-MileageCarThreshold,0))*MileageCarAfter,IF(D216="Motorcycle",E216*MileageMotorcycle,IF(D216="Bicycle",E216*MileageBicycle,0))))</f>
      </c>
    </row>
    <row r="217" spans="1:7" x14ac:dyDescent="0.25">
      <c r="A217" s="7"/>
      <c r="B217" s="10"/>
      <c r="C217" s="10"/>
      <c r="D217" s="10"/>
      <c r="E217" s="14"/>
      <c r="F217" s="19">
        <f>IF(D217="Car or van",SUMIFS($E$6:E217,$D$6:D217,"Car or van"),"")</f>
      </c>
      <c r="G217" s="18">
        <f>IF(E217="","",IF(D217="Car or van",(MIN(F217,MileageCarThreshold)-MIN(F217-E217,MileageCarThreshold))*MileageCarFirst+(MAX(F217-MileageCarThreshold,0)-MAX(F217-E217-MileageCarThreshold,0))*MileageCarAfter,IF(D217="Motorcycle",E217*MileageMotorcycle,IF(D217="Bicycle",E217*MileageBicycle,0))))</f>
      </c>
    </row>
    <row r="218" spans="1:7" x14ac:dyDescent="0.25">
      <c r="A218" s="7"/>
      <c r="B218" s="10"/>
      <c r="C218" s="10"/>
      <c r="D218" s="10"/>
      <c r="E218" s="14"/>
      <c r="F218" s="19">
        <f>IF(D218="Car or van",SUMIFS($E$6:E218,$D$6:D218,"Car or van"),"")</f>
      </c>
      <c r="G218" s="18">
        <f>IF(E218="","",IF(D218="Car or van",(MIN(F218,MileageCarThreshold)-MIN(F218-E218,MileageCarThreshold))*MileageCarFirst+(MAX(F218-MileageCarThreshold,0)-MAX(F218-E218-MileageCarThreshold,0))*MileageCarAfter,IF(D218="Motorcycle",E218*MileageMotorcycle,IF(D218="Bicycle",E218*MileageBicycle,0))))</f>
      </c>
    </row>
    <row r="219" spans="1:7" x14ac:dyDescent="0.25">
      <c r="A219" s="7"/>
      <c r="B219" s="10"/>
      <c r="C219" s="10"/>
      <c r="D219" s="10"/>
      <c r="E219" s="14"/>
      <c r="F219" s="19">
        <f>IF(D219="Car or van",SUMIFS($E$6:E219,$D$6:D219,"Car or van"),"")</f>
      </c>
      <c r="G219" s="18">
        <f>IF(E219="","",IF(D219="Car or van",(MIN(F219,MileageCarThreshold)-MIN(F219-E219,MileageCarThreshold))*MileageCarFirst+(MAX(F219-MileageCarThreshold,0)-MAX(F219-E219-MileageCarThreshold,0))*MileageCarAfter,IF(D219="Motorcycle",E219*MileageMotorcycle,IF(D219="Bicycle",E219*MileageBicycle,0))))</f>
      </c>
    </row>
    <row r="220" spans="1:7" x14ac:dyDescent="0.25">
      <c r="A220" s="7"/>
      <c r="B220" s="10"/>
      <c r="C220" s="10"/>
      <c r="D220" s="10"/>
      <c r="E220" s="14"/>
      <c r="F220" s="19">
        <f>IF(D220="Car or van",SUMIFS($E$6:E220,$D$6:D220,"Car or van"),"")</f>
      </c>
      <c r="G220" s="18">
        <f>IF(E220="","",IF(D220="Car or van",(MIN(F220,MileageCarThreshold)-MIN(F220-E220,MileageCarThreshold))*MileageCarFirst+(MAX(F220-MileageCarThreshold,0)-MAX(F220-E220-MileageCarThreshold,0))*MileageCarAfter,IF(D220="Motorcycle",E220*MileageMotorcycle,IF(D220="Bicycle",E220*MileageBicycle,0))))</f>
      </c>
    </row>
    <row r="221" spans="1:7" x14ac:dyDescent="0.25">
      <c r="A221" s="7"/>
      <c r="B221" s="10"/>
      <c r="C221" s="10"/>
      <c r="D221" s="10"/>
      <c r="E221" s="14"/>
      <c r="F221" s="19">
        <f>IF(D221="Car or van",SUMIFS($E$6:E221,$D$6:D221,"Car or van"),"")</f>
      </c>
      <c r="G221" s="18">
        <f>IF(E221="","",IF(D221="Car or van",(MIN(F221,MileageCarThreshold)-MIN(F221-E221,MileageCarThreshold))*MileageCarFirst+(MAX(F221-MileageCarThreshold,0)-MAX(F221-E221-MileageCarThreshold,0))*MileageCarAfter,IF(D221="Motorcycle",E221*MileageMotorcycle,IF(D221="Bicycle",E221*MileageBicycle,0))))</f>
      </c>
    </row>
    <row r="222" spans="1:7" x14ac:dyDescent="0.25">
      <c r="A222" s="7"/>
      <c r="B222" s="10"/>
      <c r="C222" s="10"/>
      <c r="D222" s="10"/>
      <c r="E222" s="14"/>
      <c r="F222" s="19">
        <f>IF(D222="Car or van",SUMIFS($E$6:E222,$D$6:D222,"Car or van"),"")</f>
      </c>
      <c r="G222" s="18">
        <f>IF(E222="","",IF(D222="Car or van",(MIN(F222,MileageCarThreshold)-MIN(F222-E222,MileageCarThreshold))*MileageCarFirst+(MAX(F222-MileageCarThreshold,0)-MAX(F222-E222-MileageCarThreshold,0))*MileageCarAfter,IF(D222="Motorcycle",E222*MileageMotorcycle,IF(D222="Bicycle",E222*MileageBicycle,0))))</f>
      </c>
    </row>
    <row r="223" spans="1:7" x14ac:dyDescent="0.25">
      <c r="A223" s="7"/>
      <c r="B223" s="10"/>
      <c r="C223" s="10"/>
      <c r="D223" s="10"/>
      <c r="E223" s="14"/>
      <c r="F223" s="19">
        <f>IF(D223="Car or van",SUMIFS($E$6:E223,$D$6:D223,"Car or van"),"")</f>
      </c>
      <c r="G223" s="18">
        <f>IF(E223="","",IF(D223="Car or van",(MIN(F223,MileageCarThreshold)-MIN(F223-E223,MileageCarThreshold))*MileageCarFirst+(MAX(F223-MileageCarThreshold,0)-MAX(F223-E223-MileageCarThreshold,0))*MileageCarAfter,IF(D223="Motorcycle",E223*MileageMotorcycle,IF(D223="Bicycle",E223*MileageBicycle,0))))</f>
      </c>
    </row>
    <row r="224" spans="1:7" x14ac:dyDescent="0.25">
      <c r="A224" s="7"/>
      <c r="B224" s="10"/>
      <c r="C224" s="10"/>
      <c r="D224" s="10"/>
      <c r="E224" s="14"/>
      <c r="F224" s="19">
        <f>IF(D224="Car or van",SUMIFS($E$6:E224,$D$6:D224,"Car or van"),"")</f>
      </c>
      <c r="G224" s="18">
        <f>IF(E224="","",IF(D224="Car or van",(MIN(F224,MileageCarThreshold)-MIN(F224-E224,MileageCarThreshold))*MileageCarFirst+(MAX(F224-MileageCarThreshold,0)-MAX(F224-E224-MileageCarThreshold,0))*MileageCarAfter,IF(D224="Motorcycle",E224*MileageMotorcycle,IF(D224="Bicycle",E224*MileageBicycle,0))))</f>
      </c>
    </row>
    <row r="225" spans="1:7" x14ac:dyDescent="0.25">
      <c r="A225" s="7"/>
      <c r="B225" s="10"/>
      <c r="C225" s="10"/>
      <c r="D225" s="10"/>
      <c r="E225" s="14"/>
      <c r="F225" s="19">
        <f>IF(D225="Car or van",SUMIFS($E$6:E225,$D$6:D225,"Car or van"),"")</f>
      </c>
      <c r="G225" s="18">
        <f>IF(E225="","",IF(D225="Car or van",(MIN(F225,MileageCarThreshold)-MIN(F225-E225,MileageCarThreshold))*MileageCarFirst+(MAX(F225-MileageCarThreshold,0)-MAX(F225-E225-MileageCarThreshold,0))*MileageCarAfter,IF(D225="Motorcycle",E225*MileageMotorcycle,IF(D225="Bicycle",E225*MileageBicycle,0))))</f>
      </c>
    </row>
    <row r="226" spans="1:7" x14ac:dyDescent="0.25">
      <c r="A226" s="7"/>
      <c r="B226" s="10"/>
      <c r="C226" s="10"/>
      <c r="D226" s="10"/>
      <c r="E226" s="14"/>
      <c r="F226" s="19">
        <f>IF(D226="Car or van",SUMIFS($E$6:E226,$D$6:D226,"Car or van"),"")</f>
      </c>
      <c r="G226" s="18">
        <f>IF(E226="","",IF(D226="Car or van",(MIN(F226,MileageCarThreshold)-MIN(F226-E226,MileageCarThreshold))*MileageCarFirst+(MAX(F226-MileageCarThreshold,0)-MAX(F226-E226-MileageCarThreshold,0))*MileageCarAfter,IF(D226="Motorcycle",E226*MileageMotorcycle,IF(D226="Bicycle",E226*MileageBicycle,0))))</f>
      </c>
    </row>
    <row r="227" spans="1:7" x14ac:dyDescent="0.25">
      <c r="A227" s="7"/>
      <c r="B227" s="10"/>
      <c r="C227" s="10"/>
      <c r="D227" s="10"/>
      <c r="E227" s="14"/>
      <c r="F227" s="19">
        <f>IF(D227="Car or van",SUMIFS($E$6:E227,$D$6:D227,"Car or van"),"")</f>
      </c>
      <c r="G227" s="18">
        <f>IF(E227="","",IF(D227="Car or van",(MIN(F227,MileageCarThreshold)-MIN(F227-E227,MileageCarThreshold))*MileageCarFirst+(MAX(F227-MileageCarThreshold,0)-MAX(F227-E227-MileageCarThreshold,0))*MileageCarAfter,IF(D227="Motorcycle",E227*MileageMotorcycle,IF(D227="Bicycle",E227*MileageBicycle,0))))</f>
      </c>
    </row>
    <row r="228" spans="1:7" x14ac:dyDescent="0.25">
      <c r="A228" s="7"/>
      <c r="B228" s="10"/>
      <c r="C228" s="10"/>
      <c r="D228" s="10"/>
      <c r="E228" s="14"/>
      <c r="F228" s="19">
        <f>IF(D228="Car or van",SUMIFS($E$6:E228,$D$6:D228,"Car or van"),"")</f>
      </c>
      <c r="G228" s="18">
        <f>IF(E228="","",IF(D228="Car or van",(MIN(F228,MileageCarThreshold)-MIN(F228-E228,MileageCarThreshold))*MileageCarFirst+(MAX(F228-MileageCarThreshold,0)-MAX(F228-E228-MileageCarThreshold,0))*MileageCarAfter,IF(D228="Motorcycle",E228*MileageMotorcycle,IF(D228="Bicycle",E228*MileageBicycle,0))))</f>
      </c>
    </row>
    <row r="229" spans="1:7" x14ac:dyDescent="0.25">
      <c r="A229" s="7"/>
      <c r="B229" s="10"/>
      <c r="C229" s="10"/>
      <c r="D229" s="10"/>
      <c r="E229" s="14"/>
      <c r="F229" s="19">
        <f>IF(D229="Car or van",SUMIFS($E$6:E229,$D$6:D229,"Car or van"),"")</f>
      </c>
      <c r="G229" s="18">
        <f>IF(E229="","",IF(D229="Car or van",(MIN(F229,MileageCarThreshold)-MIN(F229-E229,MileageCarThreshold))*MileageCarFirst+(MAX(F229-MileageCarThreshold,0)-MAX(F229-E229-MileageCarThreshold,0))*MileageCarAfter,IF(D229="Motorcycle",E229*MileageMotorcycle,IF(D229="Bicycle",E229*MileageBicycle,0))))</f>
      </c>
    </row>
    <row r="230" spans="1:7" x14ac:dyDescent="0.25">
      <c r="A230" s="7"/>
      <c r="B230" s="10"/>
      <c r="C230" s="10"/>
      <c r="D230" s="10"/>
      <c r="E230" s="14"/>
      <c r="F230" s="19">
        <f>IF(D230="Car or van",SUMIFS($E$6:E230,$D$6:D230,"Car or van"),"")</f>
      </c>
      <c r="G230" s="18">
        <f>IF(E230="","",IF(D230="Car or van",(MIN(F230,MileageCarThreshold)-MIN(F230-E230,MileageCarThreshold))*MileageCarFirst+(MAX(F230-MileageCarThreshold,0)-MAX(F230-E230-MileageCarThreshold,0))*MileageCarAfter,IF(D230="Motorcycle",E230*MileageMotorcycle,IF(D230="Bicycle",E230*MileageBicycle,0))))</f>
      </c>
    </row>
    <row r="231" spans="1:7" x14ac:dyDescent="0.25">
      <c r="A231" s="7"/>
      <c r="B231" s="10"/>
      <c r="C231" s="10"/>
      <c r="D231" s="10"/>
      <c r="E231" s="14"/>
      <c r="F231" s="19">
        <f>IF(D231="Car or van",SUMIFS($E$6:E231,$D$6:D231,"Car or van"),"")</f>
      </c>
      <c r="G231" s="18">
        <f>IF(E231="","",IF(D231="Car or van",(MIN(F231,MileageCarThreshold)-MIN(F231-E231,MileageCarThreshold))*MileageCarFirst+(MAX(F231-MileageCarThreshold,0)-MAX(F231-E231-MileageCarThreshold,0))*MileageCarAfter,IF(D231="Motorcycle",E231*MileageMotorcycle,IF(D231="Bicycle",E231*MileageBicycle,0))))</f>
      </c>
    </row>
    <row r="232" spans="1:7" x14ac:dyDescent="0.25">
      <c r="A232" s="7"/>
      <c r="B232" s="10"/>
      <c r="C232" s="10"/>
      <c r="D232" s="10"/>
      <c r="E232" s="14"/>
      <c r="F232" s="19">
        <f>IF(D232="Car or van",SUMIFS($E$6:E232,$D$6:D232,"Car or van"),"")</f>
      </c>
      <c r="G232" s="18">
        <f>IF(E232="","",IF(D232="Car or van",(MIN(F232,MileageCarThreshold)-MIN(F232-E232,MileageCarThreshold))*MileageCarFirst+(MAX(F232-MileageCarThreshold,0)-MAX(F232-E232-MileageCarThreshold,0))*MileageCarAfter,IF(D232="Motorcycle",E232*MileageMotorcycle,IF(D232="Bicycle",E232*MileageBicycle,0))))</f>
      </c>
    </row>
    <row r="233" spans="1:7" x14ac:dyDescent="0.25">
      <c r="A233" s="7"/>
      <c r="B233" s="10"/>
      <c r="C233" s="10"/>
      <c r="D233" s="10"/>
      <c r="E233" s="14"/>
      <c r="F233" s="19">
        <f>IF(D233="Car or van",SUMIFS($E$6:E233,$D$6:D233,"Car or van"),"")</f>
      </c>
      <c r="G233" s="18">
        <f>IF(E233="","",IF(D233="Car or van",(MIN(F233,MileageCarThreshold)-MIN(F233-E233,MileageCarThreshold))*MileageCarFirst+(MAX(F233-MileageCarThreshold,0)-MAX(F233-E233-MileageCarThreshold,0))*MileageCarAfter,IF(D233="Motorcycle",E233*MileageMotorcycle,IF(D233="Bicycle",E233*MileageBicycle,0))))</f>
      </c>
    </row>
    <row r="234" spans="1:7" x14ac:dyDescent="0.25">
      <c r="A234" s="7"/>
      <c r="B234" s="10"/>
      <c r="C234" s="10"/>
      <c r="D234" s="10"/>
      <c r="E234" s="14"/>
      <c r="F234" s="19">
        <f>IF(D234="Car or van",SUMIFS($E$6:E234,$D$6:D234,"Car or van"),"")</f>
      </c>
      <c r="G234" s="18">
        <f>IF(E234="","",IF(D234="Car or van",(MIN(F234,MileageCarThreshold)-MIN(F234-E234,MileageCarThreshold))*MileageCarFirst+(MAX(F234-MileageCarThreshold,0)-MAX(F234-E234-MileageCarThreshold,0))*MileageCarAfter,IF(D234="Motorcycle",E234*MileageMotorcycle,IF(D234="Bicycle",E234*MileageBicycle,0))))</f>
      </c>
    </row>
    <row r="235" spans="1:7" x14ac:dyDescent="0.25">
      <c r="A235" s="7"/>
      <c r="B235" s="10"/>
      <c r="C235" s="10"/>
      <c r="D235" s="10"/>
      <c r="E235" s="14"/>
      <c r="F235" s="19">
        <f>IF(D235="Car or van",SUMIFS($E$6:E235,$D$6:D235,"Car or van"),"")</f>
      </c>
      <c r="G235" s="18">
        <f>IF(E235="","",IF(D235="Car or van",(MIN(F235,MileageCarThreshold)-MIN(F235-E235,MileageCarThreshold))*MileageCarFirst+(MAX(F235-MileageCarThreshold,0)-MAX(F235-E235-MileageCarThreshold,0))*MileageCarAfter,IF(D235="Motorcycle",E235*MileageMotorcycle,IF(D235="Bicycle",E235*MileageBicycle,0))))</f>
      </c>
    </row>
    <row r="236" spans="1:7" x14ac:dyDescent="0.25">
      <c r="A236" s="7"/>
      <c r="B236" s="10"/>
      <c r="C236" s="10"/>
      <c r="D236" s="10"/>
      <c r="E236" s="14"/>
      <c r="F236" s="19">
        <f>IF(D236="Car or van",SUMIFS($E$6:E236,$D$6:D236,"Car or van"),"")</f>
      </c>
      <c r="G236" s="18">
        <f>IF(E236="","",IF(D236="Car or van",(MIN(F236,MileageCarThreshold)-MIN(F236-E236,MileageCarThreshold))*MileageCarFirst+(MAX(F236-MileageCarThreshold,0)-MAX(F236-E236-MileageCarThreshold,0))*MileageCarAfter,IF(D236="Motorcycle",E236*MileageMotorcycle,IF(D236="Bicycle",E236*MileageBicycle,0))))</f>
      </c>
    </row>
    <row r="237" spans="1:7" x14ac:dyDescent="0.25">
      <c r="A237" s="7"/>
      <c r="B237" s="10"/>
      <c r="C237" s="10"/>
      <c r="D237" s="10"/>
      <c r="E237" s="14"/>
      <c r="F237" s="19">
        <f>IF(D237="Car or van",SUMIFS($E$6:E237,$D$6:D237,"Car or van"),"")</f>
      </c>
      <c r="G237" s="18">
        <f>IF(E237="","",IF(D237="Car or van",(MIN(F237,MileageCarThreshold)-MIN(F237-E237,MileageCarThreshold))*MileageCarFirst+(MAX(F237-MileageCarThreshold,0)-MAX(F237-E237-MileageCarThreshold,0))*MileageCarAfter,IF(D237="Motorcycle",E237*MileageMotorcycle,IF(D237="Bicycle",E237*MileageBicycle,0))))</f>
      </c>
    </row>
    <row r="238" spans="1:7" x14ac:dyDescent="0.25">
      <c r="A238" s="7"/>
      <c r="B238" s="10"/>
      <c r="C238" s="10"/>
      <c r="D238" s="10"/>
      <c r="E238" s="14"/>
      <c r="F238" s="19">
        <f>IF(D238="Car or van",SUMIFS($E$6:E238,$D$6:D238,"Car or van"),"")</f>
      </c>
      <c r="G238" s="18">
        <f>IF(E238="","",IF(D238="Car or van",(MIN(F238,MileageCarThreshold)-MIN(F238-E238,MileageCarThreshold))*MileageCarFirst+(MAX(F238-MileageCarThreshold,0)-MAX(F238-E238-MileageCarThreshold,0))*MileageCarAfter,IF(D238="Motorcycle",E238*MileageMotorcycle,IF(D238="Bicycle",E238*MileageBicycle,0))))</f>
      </c>
    </row>
    <row r="239" spans="1:7" x14ac:dyDescent="0.25">
      <c r="A239" s="7"/>
      <c r="B239" s="10"/>
      <c r="C239" s="10"/>
      <c r="D239" s="10"/>
      <c r="E239" s="14"/>
      <c r="F239" s="19">
        <f>IF(D239="Car or van",SUMIFS($E$6:E239,$D$6:D239,"Car or van"),"")</f>
      </c>
      <c r="G239" s="18">
        <f>IF(E239="","",IF(D239="Car or van",(MIN(F239,MileageCarThreshold)-MIN(F239-E239,MileageCarThreshold))*MileageCarFirst+(MAX(F239-MileageCarThreshold,0)-MAX(F239-E239-MileageCarThreshold,0))*MileageCarAfter,IF(D239="Motorcycle",E239*MileageMotorcycle,IF(D239="Bicycle",E239*MileageBicycle,0))))</f>
      </c>
    </row>
    <row r="240" spans="1:7" x14ac:dyDescent="0.25">
      <c r="A240" s="7"/>
      <c r="B240" s="10"/>
      <c r="C240" s="10"/>
      <c r="D240" s="10"/>
      <c r="E240" s="14"/>
      <c r="F240" s="19">
        <f>IF(D240="Car or van",SUMIFS($E$6:E240,$D$6:D240,"Car or van"),"")</f>
      </c>
      <c r="G240" s="18">
        <f>IF(E240="","",IF(D240="Car or van",(MIN(F240,MileageCarThreshold)-MIN(F240-E240,MileageCarThreshold))*MileageCarFirst+(MAX(F240-MileageCarThreshold,0)-MAX(F240-E240-MileageCarThreshold,0))*MileageCarAfter,IF(D240="Motorcycle",E240*MileageMotorcycle,IF(D240="Bicycle",E240*MileageBicycle,0))))</f>
      </c>
    </row>
    <row r="241" spans="1:7" x14ac:dyDescent="0.25">
      <c r="A241" s="7"/>
      <c r="B241" s="10"/>
      <c r="C241" s="10"/>
      <c r="D241" s="10"/>
      <c r="E241" s="14"/>
      <c r="F241" s="19">
        <f>IF(D241="Car or van",SUMIFS($E$6:E241,$D$6:D241,"Car or van"),"")</f>
      </c>
      <c r="G241" s="18">
        <f>IF(E241="","",IF(D241="Car or van",(MIN(F241,MileageCarThreshold)-MIN(F241-E241,MileageCarThreshold))*MileageCarFirst+(MAX(F241-MileageCarThreshold,0)-MAX(F241-E241-MileageCarThreshold,0))*MileageCarAfter,IF(D241="Motorcycle",E241*MileageMotorcycle,IF(D241="Bicycle",E241*MileageBicycle,0))))</f>
      </c>
    </row>
    <row r="242" spans="1:7" x14ac:dyDescent="0.25">
      <c r="A242" s="7"/>
      <c r="B242" s="10"/>
      <c r="C242" s="10"/>
      <c r="D242" s="10"/>
      <c r="E242" s="14"/>
      <c r="F242" s="19">
        <f>IF(D242="Car or van",SUMIFS($E$6:E242,$D$6:D242,"Car or van"),"")</f>
      </c>
      <c r="G242" s="18">
        <f>IF(E242="","",IF(D242="Car or van",(MIN(F242,MileageCarThreshold)-MIN(F242-E242,MileageCarThreshold))*MileageCarFirst+(MAX(F242-MileageCarThreshold,0)-MAX(F242-E242-MileageCarThreshold,0))*MileageCarAfter,IF(D242="Motorcycle",E242*MileageMotorcycle,IF(D242="Bicycle",E242*MileageBicycle,0))))</f>
      </c>
    </row>
    <row r="243" spans="1:7" x14ac:dyDescent="0.25">
      <c r="A243" s="7"/>
      <c r="B243" s="10"/>
      <c r="C243" s="10"/>
      <c r="D243" s="10"/>
      <c r="E243" s="14"/>
      <c r="F243" s="19">
        <f>IF(D243="Car or van",SUMIFS($E$6:E243,$D$6:D243,"Car or van"),"")</f>
      </c>
      <c r="G243" s="18">
        <f>IF(E243="","",IF(D243="Car or van",(MIN(F243,MileageCarThreshold)-MIN(F243-E243,MileageCarThreshold))*MileageCarFirst+(MAX(F243-MileageCarThreshold,0)-MAX(F243-E243-MileageCarThreshold,0))*MileageCarAfter,IF(D243="Motorcycle",E243*MileageMotorcycle,IF(D243="Bicycle",E243*MileageBicycle,0))))</f>
      </c>
    </row>
    <row r="244" spans="1:7" x14ac:dyDescent="0.25">
      <c r="A244" s="7"/>
      <c r="B244" s="10"/>
      <c r="C244" s="10"/>
      <c r="D244" s="10"/>
      <c r="E244" s="14"/>
      <c r="F244" s="19">
        <f>IF(D244="Car or van",SUMIFS($E$6:E244,$D$6:D244,"Car or van"),"")</f>
      </c>
      <c r="G244" s="18">
        <f>IF(E244="","",IF(D244="Car or van",(MIN(F244,MileageCarThreshold)-MIN(F244-E244,MileageCarThreshold))*MileageCarFirst+(MAX(F244-MileageCarThreshold,0)-MAX(F244-E244-MileageCarThreshold,0))*MileageCarAfter,IF(D244="Motorcycle",E244*MileageMotorcycle,IF(D244="Bicycle",E244*MileageBicycle,0))))</f>
      </c>
    </row>
    <row r="245" spans="1:7" x14ac:dyDescent="0.25">
      <c r="A245" s="7"/>
      <c r="B245" s="10"/>
      <c r="C245" s="10"/>
      <c r="D245" s="10"/>
      <c r="E245" s="14"/>
      <c r="F245" s="19">
        <f>IF(D245="Car or van",SUMIFS($E$6:E245,$D$6:D245,"Car or van"),"")</f>
      </c>
      <c r="G245" s="18">
        <f>IF(E245="","",IF(D245="Car or van",(MIN(F245,MileageCarThreshold)-MIN(F245-E245,MileageCarThreshold))*MileageCarFirst+(MAX(F245-MileageCarThreshold,0)-MAX(F245-E245-MileageCarThreshold,0))*MileageCarAfter,IF(D245="Motorcycle",E245*MileageMotorcycle,IF(D245="Bicycle",E245*MileageBicycle,0))))</f>
      </c>
    </row>
    <row r="246" spans="1:7" x14ac:dyDescent="0.25">
      <c r="A246" s="7"/>
      <c r="B246" s="10"/>
      <c r="C246" s="10"/>
      <c r="D246" s="10"/>
      <c r="E246" s="14"/>
      <c r="F246" s="19">
        <f>IF(D246="Car or van",SUMIFS($E$6:E246,$D$6:D246,"Car or van"),"")</f>
      </c>
      <c r="G246" s="18">
        <f>IF(E246="","",IF(D246="Car or van",(MIN(F246,MileageCarThreshold)-MIN(F246-E246,MileageCarThreshold))*MileageCarFirst+(MAX(F246-MileageCarThreshold,0)-MAX(F246-E246-MileageCarThreshold,0))*MileageCarAfter,IF(D246="Motorcycle",E246*MileageMotorcycle,IF(D246="Bicycle",E246*MileageBicycle,0))))</f>
      </c>
    </row>
    <row r="247" spans="1:7" x14ac:dyDescent="0.25">
      <c r="A247" s="7"/>
      <c r="B247" s="10"/>
      <c r="C247" s="10"/>
      <c r="D247" s="10"/>
      <c r="E247" s="14"/>
      <c r="F247" s="19">
        <f>IF(D247="Car or van",SUMIFS($E$6:E247,$D$6:D247,"Car or van"),"")</f>
      </c>
      <c r="G247" s="18">
        <f>IF(E247="","",IF(D247="Car or van",(MIN(F247,MileageCarThreshold)-MIN(F247-E247,MileageCarThreshold))*MileageCarFirst+(MAX(F247-MileageCarThreshold,0)-MAX(F247-E247-MileageCarThreshold,0))*MileageCarAfter,IF(D247="Motorcycle",E247*MileageMotorcycle,IF(D247="Bicycle",E247*MileageBicycle,0))))</f>
      </c>
    </row>
    <row r="248" spans="1:7" x14ac:dyDescent="0.25">
      <c r="A248" s="7"/>
      <c r="B248" s="10"/>
      <c r="C248" s="10"/>
      <c r="D248" s="10"/>
      <c r="E248" s="14"/>
      <c r="F248" s="19">
        <f>IF(D248="Car or van",SUMIFS($E$6:E248,$D$6:D248,"Car or van"),"")</f>
      </c>
      <c r="G248" s="18">
        <f>IF(E248="","",IF(D248="Car or van",(MIN(F248,MileageCarThreshold)-MIN(F248-E248,MileageCarThreshold))*MileageCarFirst+(MAX(F248-MileageCarThreshold,0)-MAX(F248-E248-MileageCarThreshold,0))*MileageCarAfter,IF(D248="Motorcycle",E248*MileageMotorcycle,IF(D248="Bicycle",E248*MileageBicycle,0))))</f>
      </c>
    </row>
    <row r="249" spans="1:7" x14ac:dyDescent="0.25">
      <c r="A249" s="7"/>
      <c r="B249" s="10"/>
      <c r="C249" s="10"/>
      <c r="D249" s="10"/>
      <c r="E249" s="14"/>
      <c r="F249" s="19">
        <f>IF(D249="Car or van",SUMIFS($E$6:E249,$D$6:D249,"Car or van"),"")</f>
      </c>
      <c r="G249" s="18">
        <f>IF(E249="","",IF(D249="Car or van",(MIN(F249,MileageCarThreshold)-MIN(F249-E249,MileageCarThreshold))*MileageCarFirst+(MAX(F249-MileageCarThreshold,0)-MAX(F249-E249-MileageCarThreshold,0))*MileageCarAfter,IF(D249="Motorcycle",E249*MileageMotorcycle,IF(D249="Bicycle",E249*MileageBicycle,0))))</f>
      </c>
    </row>
    <row r="250" spans="1:7" x14ac:dyDescent="0.25">
      <c r="A250" s="7"/>
      <c r="B250" s="10"/>
      <c r="C250" s="10"/>
      <c r="D250" s="10"/>
      <c r="E250" s="14"/>
      <c r="F250" s="19">
        <f>IF(D250="Car or van",SUMIFS($E$6:E250,$D$6:D250,"Car or van"),"")</f>
      </c>
      <c r="G250" s="18">
        <f>IF(E250="","",IF(D250="Car or van",(MIN(F250,MileageCarThreshold)-MIN(F250-E250,MileageCarThreshold))*MileageCarFirst+(MAX(F250-MileageCarThreshold,0)-MAX(F250-E250-MileageCarThreshold,0))*MileageCarAfter,IF(D250="Motorcycle",E250*MileageMotorcycle,IF(D250="Bicycle",E250*MileageBicycle,0))))</f>
      </c>
    </row>
    <row r="251" spans="1:7" x14ac:dyDescent="0.25">
      <c r="A251" s="7"/>
      <c r="B251" s="10"/>
      <c r="C251" s="10"/>
      <c r="D251" s="10"/>
      <c r="E251" s="14"/>
      <c r="F251" s="19">
        <f>IF(D251="Car or van",SUMIFS($E$6:E251,$D$6:D251,"Car or van"),"")</f>
      </c>
      <c r="G251" s="18">
        <f>IF(E251="","",IF(D251="Car or van",(MIN(F251,MileageCarThreshold)-MIN(F251-E251,MileageCarThreshold))*MileageCarFirst+(MAX(F251-MileageCarThreshold,0)-MAX(F251-E251-MileageCarThreshold,0))*MileageCarAfter,IF(D251="Motorcycle",E251*MileageMotorcycle,IF(D251="Bicycle",E251*MileageBicycle,0))))</f>
      </c>
    </row>
    <row r="252" spans="1:7" x14ac:dyDescent="0.25">
      <c r="A252" s="7"/>
      <c r="B252" s="10"/>
      <c r="C252" s="10"/>
      <c r="D252" s="10"/>
      <c r="E252" s="14"/>
      <c r="F252" s="19">
        <f>IF(D252="Car or van",SUMIFS($E$6:E252,$D$6:D252,"Car or van"),"")</f>
      </c>
      <c r="G252" s="18">
        <f>IF(E252="","",IF(D252="Car or van",(MIN(F252,MileageCarThreshold)-MIN(F252-E252,MileageCarThreshold))*MileageCarFirst+(MAX(F252-MileageCarThreshold,0)-MAX(F252-E252-MileageCarThreshold,0))*MileageCarAfter,IF(D252="Motorcycle",E252*MileageMotorcycle,IF(D252="Bicycle",E252*MileageBicycle,0))))</f>
      </c>
    </row>
    <row r="253" spans="1:7" x14ac:dyDescent="0.25">
      <c r="A253" s="7"/>
      <c r="B253" s="10"/>
      <c r="C253" s="10"/>
      <c r="D253" s="10"/>
      <c r="E253" s="14"/>
      <c r="F253" s="19">
        <f>IF(D253="Car or van",SUMIFS($E$6:E253,$D$6:D253,"Car or van"),"")</f>
      </c>
      <c r="G253" s="18">
        <f>IF(E253="","",IF(D253="Car or van",(MIN(F253,MileageCarThreshold)-MIN(F253-E253,MileageCarThreshold))*MileageCarFirst+(MAX(F253-MileageCarThreshold,0)-MAX(F253-E253-MileageCarThreshold,0))*MileageCarAfter,IF(D253="Motorcycle",E253*MileageMotorcycle,IF(D253="Bicycle",E253*MileageBicycle,0))))</f>
      </c>
    </row>
    <row r="254" spans="1:7" x14ac:dyDescent="0.25">
      <c r="A254" s="7"/>
      <c r="B254" s="10"/>
      <c r="C254" s="10"/>
      <c r="D254" s="10"/>
      <c r="E254" s="14"/>
      <c r="F254" s="19">
        <f>IF(D254="Car or van",SUMIFS($E$6:E254,$D$6:D254,"Car or van"),"")</f>
      </c>
      <c r="G254" s="18">
        <f>IF(E254="","",IF(D254="Car or van",(MIN(F254,MileageCarThreshold)-MIN(F254-E254,MileageCarThreshold))*MileageCarFirst+(MAX(F254-MileageCarThreshold,0)-MAX(F254-E254-MileageCarThreshold,0))*MileageCarAfter,IF(D254="Motorcycle",E254*MileageMotorcycle,IF(D254="Bicycle",E254*MileageBicycle,0))))</f>
      </c>
    </row>
    <row r="255" spans="1:7" x14ac:dyDescent="0.25">
      <c r="A255" s="7"/>
      <c r="B255" s="10"/>
      <c r="C255" s="10"/>
      <c r="D255" s="10"/>
      <c r="E255" s="14"/>
      <c r="F255" s="19">
        <f>IF(D255="Car or van",SUMIFS($E$6:E255,$D$6:D255,"Car or van"),"")</f>
      </c>
      <c r="G255" s="18">
        <f>IF(E255="","",IF(D255="Car or van",(MIN(F255,MileageCarThreshold)-MIN(F255-E255,MileageCarThreshold))*MileageCarFirst+(MAX(F255-MileageCarThreshold,0)-MAX(F255-E255-MileageCarThreshold,0))*MileageCarAfter,IF(D255="Motorcycle",E255*MileageMotorcycle,IF(D255="Bicycle",E255*MileageBicycle,0))))</f>
      </c>
    </row>
    <row r="256" spans="1:7" x14ac:dyDescent="0.25">
      <c r="A256" s="7"/>
      <c r="B256" s="10"/>
      <c r="C256" s="10"/>
      <c r="D256" s="10"/>
      <c r="E256" s="14"/>
      <c r="F256" s="19">
        <f>IF(D256="Car or van",SUMIFS($E$6:E256,$D$6:D256,"Car or van"),"")</f>
      </c>
      <c r="G256" s="18">
        <f>IF(E256="","",IF(D256="Car or van",(MIN(F256,MileageCarThreshold)-MIN(F256-E256,MileageCarThreshold))*MileageCarFirst+(MAX(F256-MileageCarThreshold,0)-MAX(F256-E256-MileageCarThreshold,0))*MileageCarAfter,IF(D256="Motorcycle",E256*MileageMotorcycle,IF(D256="Bicycle",E256*MileageBicycle,0))))</f>
      </c>
    </row>
    <row r="257" spans="1:7" x14ac:dyDescent="0.25">
      <c r="A257" s="7"/>
      <c r="B257" s="10"/>
      <c r="C257" s="10"/>
      <c r="D257" s="10"/>
      <c r="E257" s="14"/>
      <c r="F257" s="19">
        <f>IF(D257="Car or van",SUMIFS($E$6:E257,$D$6:D257,"Car or van"),"")</f>
      </c>
      <c r="G257" s="18">
        <f>IF(E257="","",IF(D257="Car or van",(MIN(F257,MileageCarThreshold)-MIN(F257-E257,MileageCarThreshold))*MileageCarFirst+(MAX(F257-MileageCarThreshold,0)-MAX(F257-E257-MileageCarThreshold,0))*MileageCarAfter,IF(D257="Motorcycle",E257*MileageMotorcycle,IF(D257="Bicycle",E257*MileageBicycle,0))))</f>
      </c>
    </row>
    <row r="258" spans="1:7" x14ac:dyDescent="0.25">
      <c r="A258" s="7"/>
      <c r="B258" s="10"/>
      <c r="C258" s="10"/>
      <c r="D258" s="10"/>
      <c r="E258" s="14"/>
      <c r="F258" s="19">
        <f>IF(D258="Car or van",SUMIFS($E$6:E258,$D$6:D258,"Car or van"),"")</f>
      </c>
      <c r="G258" s="18">
        <f>IF(E258="","",IF(D258="Car or van",(MIN(F258,MileageCarThreshold)-MIN(F258-E258,MileageCarThreshold))*MileageCarFirst+(MAX(F258-MileageCarThreshold,0)-MAX(F258-E258-MileageCarThreshold,0))*MileageCarAfter,IF(D258="Motorcycle",E258*MileageMotorcycle,IF(D258="Bicycle",E258*MileageBicycle,0))))</f>
      </c>
    </row>
    <row r="259" spans="1:7" x14ac:dyDescent="0.25">
      <c r="A259" s="7"/>
      <c r="B259" s="10"/>
      <c r="C259" s="10"/>
      <c r="D259" s="10"/>
      <c r="E259" s="14"/>
      <c r="F259" s="19">
        <f>IF(D259="Car or van",SUMIFS($E$6:E259,$D$6:D259,"Car or van"),"")</f>
      </c>
      <c r="G259" s="18">
        <f>IF(E259="","",IF(D259="Car or van",(MIN(F259,MileageCarThreshold)-MIN(F259-E259,MileageCarThreshold))*MileageCarFirst+(MAX(F259-MileageCarThreshold,0)-MAX(F259-E259-MileageCarThreshold,0))*MileageCarAfter,IF(D259="Motorcycle",E259*MileageMotorcycle,IF(D259="Bicycle",E259*MileageBicycle,0))))</f>
      </c>
    </row>
    <row r="260" spans="1:7" x14ac:dyDescent="0.25">
      <c r="A260" s="7"/>
      <c r="B260" s="10"/>
      <c r="C260" s="10"/>
      <c r="D260" s="10"/>
      <c r="E260" s="14"/>
      <c r="F260" s="19">
        <f>IF(D260="Car or van",SUMIFS($E$6:E260,$D$6:D260,"Car or van"),"")</f>
      </c>
      <c r="G260" s="18">
        <f>IF(E260="","",IF(D260="Car or van",(MIN(F260,MileageCarThreshold)-MIN(F260-E260,MileageCarThreshold))*MileageCarFirst+(MAX(F260-MileageCarThreshold,0)-MAX(F260-E260-MileageCarThreshold,0))*MileageCarAfter,IF(D260="Motorcycle",E260*MileageMotorcycle,IF(D260="Bicycle",E260*MileageBicycle,0))))</f>
      </c>
    </row>
    <row r="261" spans="1:7" x14ac:dyDescent="0.25">
      <c r="A261" s="7"/>
      <c r="B261" s="10"/>
      <c r="C261" s="10"/>
      <c r="D261" s="10"/>
      <c r="E261" s="14"/>
      <c r="F261" s="19">
        <f>IF(D261="Car or van",SUMIFS($E$6:E261,$D$6:D261,"Car or van"),"")</f>
      </c>
      <c r="G261" s="18">
        <f>IF(E261="","",IF(D261="Car or van",(MIN(F261,MileageCarThreshold)-MIN(F261-E261,MileageCarThreshold))*MileageCarFirst+(MAX(F261-MileageCarThreshold,0)-MAX(F261-E261-MileageCarThreshold,0))*MileageCarAfter,IF(D261="Motorcycle",E261*MileageMotorcycle,IF(D261="Bicycle",E261*MileageBicycle,0))))</f>
      </c>
    </row>
    <row r="262" spans="1:7" x14ac:dyDescent="0.25">
      <c r="A262" s="7"/>
      <c r="B262" s="10"/>
      <c r="C262" s="10"/>
      <c r="D262" s="10"/>
      <c r="E262" s="14"/>
      <c r="F262" s="19">
        <f>IF(D262="Car or van",SUMIFS($E$6:E262,$D$6:D262,"Car or van"),"")</f>
      </c>
      <c r="G262" s="18">
        <f>IF(E262="","",IF(D262="Car or van",(MIN(F262,MileageCarThreshold)-MIN(F262-E262,MileageCarThreshold))*MileageCarFirst+(MAX(F262-MileageCarThreshold,0)-MAX(F262-E262-MileageCarThreshold,0))*MileageCarAfter,IF(D262="Motorcycle",E262*MileageMotorcycle,IF(D262="Bicycle",E262*MileageBicycle,0))))</f>
      </c>
    </row>
    <row r="263" spans="1:7" x14ac:dyDescent="0.25">
      <c r="A263" s="7"/>
      <c r="B263" s="10"/>
      <c r="C263" s="10"/>
      <c r="D263" s="10"/>
      <c r="E263" s="14"/>
      <c r="F263" s="19">
        <f>IF(D263="Car or van",SUMIFS($E$6:E263,$D$6:D263,"Car or van"),"")</f>
      </c>
      <c r="G263" s="18">
        <f>IF(E263="","",IF(D263="Car or van",(MIN(F263,MileageCarThreshold)-MIN(F263-E263,MileageCarThreshold))*MileageCarFirst+(MAX(F263-MileageCarThreshold,0)-MAX(F263-E263-MileageCarThreshold,0))*MileageCarAfter,IF(D263="Motorcycle",E263*MileageMotorcycle,IF(D263="Bicycle",E263*MileageBicycle,0))))</f>
      </c>
    </row>
    <row r="264" spans="1:7" x14ac:dyDescent="0.25">
      <c r="A264" s="7"/>
      <c r="B264" s="10"/>
      <c r="C264" s="10"/>
      <c r="D264" s="10"/>
      <c r="E264" s="14"/>
      <c r="F264" s="19">
        <f>IF(D264="Car or van",SUMIFS($E$6:E264,$D$6:D264,"Car or van"),"")</f>
      </c>
      <c r="G264" s="18">
        <f>IF(E264="","",IF(D264="Car or van",(MIN(F264,MileageCarThreshold)-MIN(F264-E264,MileageCarThreshold))*MileageCarFirst+(MAX(F264-MileageCarThreshold,0)-MAX(F264-E264-MileageCarThreshold,0))*MileageCarAfter,IF(D264="Motorcycle",E264*MileageMotorcycle,IF(D264="Bicycle",E264*MileageBicycle,0))))</f>
      </c>
    </row>
    <row r="265" spans="1:7" x14ac:dyDescent="0.25">
      <c r="A265" s="7"/>
      <c r="B265" s="10"/>
      <c r="C265" s="10"/>
      <c r="D265" s="10"/>
      <c r="E265" s="14"/>
      <c r="F265" s="19">
        <f>IF(D265="Car or van",SUMIFS($E$6:E265,$D$6:D265,"Car or van"),"")</f>
      </c>
      <c r="G265" s="18">
        <f>IF(E265="","",IF(D265="Car or van",(MIN(F265,MileageCarThreshold)-MIN(F265-E265,MileageCarThreshold))*MileageCarFirst+(MAX(F265-MileageCarThreshold,0)-MAX(F265-E265-MileageCarThreshold,0))*MileageCarAfter,IF(D265="Motorcycle",E265*MileageMotorcycle,IF(D265="Bicycle",E265*MileageBicycle,0))))</f>
      </c>
    </row>
    <row r="266" spans="1:7" x14ac:dyDescent="0.25">
      <c r="A266" s="7"/>
      <c r="B266" s="10"/>
      <c r="C266" s="10"/>
      <c r="D266" s="10"/>
      <c r="E266" s="14"/>
      <c r="F266" s="19">
        <f>IF(D266="Car or van",SUMIFS($E$6:E266,$D$6:D266,"Car or van"),"")</f>
      </c>
      <c r="G266" s="18">
        <f>IF(E266="","",IF(D266="Car or van",(MIN(F266,MileageCarThreshold)-MIN(F266-E266,MileageCarThreshold))*MileageCarFirst+(MAX(F266-MileageCarThreshold,0)-MAX(F266-E266-MileageCarThreshold,0))*MileageCarAfter,IF(D266="Motorcycle",E266*MileageMotorcycle,IF(D266="Bicycle",E266*MileageBicycle,0))))</f>
      </c>
    </row>
    <row r="267" spans="1:7" x14ac:dyDescent="0.25">
      <c r="A267" s="7"/>
      <c r="B267" s="10"/>
      <c r="C267" s="10"/>
      <c r="D267" s="10"/>
      <c r="E267" s="14"/>
      <c r="F267" s="19">
        <f>IF(D267="Car or van",SUMIFS($E$6:E267,$D$6:D267,"Car or van"),"")</f>
      </c>
      <c r="G267" s="18">
        <f>IF(E267="","",IF(D267="Car or van",(MIN(F267,MileageCarThreshold)-MIN(F267-E267,MileageCarThreshold))*MileageCarFirst+(MAX(F267-MileageCarThreshold,0)-MAX(F267-E267-MileageCarThreshold,0))*MileageCarAfter,IF(D267="Motorcycle",E267*MileageMotorcycle,IF(D267="Bicycle",E267*MileageBicycle,0))))</f>
      </c>
    </row>
    <row r="268" spans="1:7" x14ac:dyDescent="0.25">
      <c r="A268" s="7"/>
      <c r="B268" s="10"/>
      <c r="C268" s="10"/>
      <c r="D268" s="10"/>
      <c r="E268" s="14"/>
      <c r="F268" s="19">
        <f>IF(D268="Car or van",SUMIFS($E$6:E268,$D$6:D268,"Car or van"),"")</f>
      </c>
      <c r="G268" s="18">
        <f>IF(E268="","",IF(D268="Car or van",(MIN(F268,MileageCarThreshold)-MIN(F268-E268,MileageCarThreshold))*MileageCarFirst+(MAX(F268-MileageCarThreshold,0)-MAX(F268-E268-MileageCarThreshold,0))*MileageCarAfter,IF(D268="Motorcycle",E268*MileageMotorcycle,IF(D268="Bicycle",E268*MileageBicycle,0))))</f>
      </c>
    </row>
    <row r="269" spans="1:7" x14ac:dyDescent="0.25">
      <c r="A269" s="7"/>
      <c r="B269" s="10"/>
      <c r="C269" s="10"/>
      <c r="D269" s="10"/>
      <c r="E269" s="14"/>
      <c r="F269" s="19">
        <f>IF(D269="Car or van",SUMIFS($E$6:E269,$D$6:D269,"Car or van"),"")</f>
      </c>
      <c r="G269" s="18">
        <f>IF(E269="","",IF(D269="Car or van",(MIN(F269,MileageCarThreshold)-MIN(F269-E269,MileageCarThreshold))*MileageCarFirst+(MAX(F269-MileageCarThreshold,0)-MAX(F269-E269-MileageCarThreshold,0))*MileageCarAfter,IF(D269="Motorcycle",E269*MileageMotorcycle,IF(D269="Bicycle",E269*MileageBicycle,0))))</f>
      </c>
    </row>
    <row r="270" spans="1:7" x14ac:dyDescent="0.25">
      <c r="A270" s="7"/>
      <c r="B270" s="10"/>
      <c r="C270" s="10"/>
      <c r="D270" s="10"/>
      <c r="E270" s="14"/>
      <c r="F270" s="19">
        <f>IF(D270="Car or van",SUMIFS($E$6:E270,$D$6:D270,"Car or van"),"")</f>
      </c>
      <c r="G270" s="18">
        <f>IF(E270="","",IF(D270="Car or van",(MIN(F270,MileageCarThreshold)-MIN(F270-E270,MileageCarThreshold))*MileageCarFirst+(MAX(F270-MileageCarThreshold,0)-MAX(F270-E270-MileageCarThreshold,0))*MileageCarAfter,IF(D270="Motorcycle",E270*MileageMotorcycle,IF(D270="Bicycle",E270*MileageBicycle,0))))</f>
      </c>
    </row>
    <row r="271" spans="1:7" x14ac:dyDescent="0.25">
      <c r="A271" s="7"/>
      <c r="B271" s="10"/>
      <c r="C271" s="10"/>
      <c r="D271" s="10"/>
      <c r="E271" s="14"/>
      <c r="F271" s="19">
        <f>IF(D271="Car or van",SUMIFS($E$6:E271,$D$6:D271,"Car or van"),"")</f>
      </c>
      <c r="G271" s="18">
        <f>IF(E271="","",IF(D271="Car or van",(MIN(F271,MileageCarThreshold)-MIN(F271-E271,MileageCarThreshold))*MileageCarFirst+(MAX(F271-MileageCarThreshold,0)-MAX(F271-E271-MileageCarThreshold,0))*MileageCarAfter,IF(D271="Motorcycle",E271*MileageMotorcycle,IF(D271="Bicycle",E271*MileageBicycle,0))))</f>
      </c>
    </row>
    <row r="272" spans="1:7" x14ac:dyDescent="0.25">
      <c r="A272" s="7"/>
      <c r="B272" s="10"/>
      <c r="C272" s="10"/>
      <c r="D272" s="10"/>
      <c r="E272" s="14"/>
      <c r="F272" s="19">
        <f>IF(D272="Car or van",SUMIFS($E$6:E272,$D$6:D272,"Car or van"),"")</f>
      </c>
      <c r="G272" s="18">
        <f>IF(E272="","",IF(D272="Car or van",(MIN(F272,MileageCarThreshold)-MIN(F272-E272,MileageCarThreshold))*MileageCarFirst+(MAX(F272-MileageCarThreshold,0)-MAX(F272-E272-MileageCarThreshold,0))*MileageCarAfter,IF(D272="Motorcycle",E272*MileageMotorcycle,IF(D272="Bicycle",E272*MileageBicycle,0))))</f>
      </c>
    </row>
    <row r="273" spans="1:7" x14ac:dyDescent="0.25">
      <c r="A273" s="7"/>
      <c r="B273" s="10"/>
      <c r="C273" s="10"/>
      <c r="D273" s="10"/>
      <c r="E273" s="14"/>
      <c r="F273" s="19">
        <f>IF(D273="Car or van",SUMIFS($E$6:E273,$D$6:D273,"Car or van"),"")</f>
      </c>
      <c r="G273" s="18">
        <f>IF(E273="","",IF(D273="Car or van",(MIN(F273,MileageCarThreshold)-MIN(F273-E273,MileageCarThreshold))*MileageCarFirst+(MAX(F273-MileageCarThreshold,0)-MAX(F273-E273-MileageCarThreshold,0))*MileageCarAfter,IF(D273="Motorcycle",E273*MileageMotorcycle,IF(D273="Bicycle",E273*MileageBicycle,0))))</f>
      </c>
    </row>
    <row r="274" spans="1:7" x14ac:dyDescent="0.25">
      <c r="A274" s="7"/>
      <c r="B274" s="10"/>
      <c r="C274" s="10"/>
      <c r="D274" s="10"/>
      <c r="E274" s="14"/>
      <c r="F274" s="19">
        <f>IF(D274="Car or van",SUMIFS($E$6:E274,$D$6:D274,"Car or van"),"")</f>
      </c>
      <c r="G274" s="18">
        <f>IF(E274="","",IF(D274="Car or van",(MIN(F274,MileageCarThreshold)-MIN(F274-E274,MileageCarThreshold))*MileageCarFirst+(MAX(F274-MileageCarThreshold,0)-MAX(F274-E274-MileageCarThreshold,0))*MileageCarAfter,IF(D274="Motorcycle",E274*MileageMotorcycle,IF(D274="Bicycle",E274*MileageBicycle,0))))</f>
      </c>
    </row>
    <row r="275" spans="1:7" x14ac:dyDescent="0.25">
      <c r="A275" s="7"/>
      <c r="B275" s="10"/>
      <c r="C275" s="10"/>
      <c r="D275" s="10"/>
      <c r="E275" s="14"/>
      <c r="F275" s="19">
        <f>IF(D275="Car or van",SUMIFS($E$6:E275,$D$6:D275,"Car or van"),"")</f>
      </c>
      <c r="G275" s="18">
        <f>IF(E275="","",IF(D275="Car or van",(MIN(F275,MileageCarThreshold)-MIN(F275-E275,MileageCarThreshold))*MileageCarFirst+(MAX(F275-MileageCarThreshold,0)-MAX(F275-E275-MileageCarThreshold,0))*MileageCarAfter,IF(D275="Motorcycle",E275*MileageMotorcycle,IF(D275="Bicycle",E275*MileageBicycle,0))))</f>
      </c>
    </row>
    <row r="276" spans="1:7" x14ac:dyDescent="0.25">
      <c r="A276" s="7"/>
      <c r="B276" s="10"/>
      <c r="C276" s="10"/>
      <c r="D276" s="10"/>
      <c r="E276" s="14"/>
      <c r="F276" s="19">
        <f>IF(D276="Car or van",SUMIFS($E$6:E276,$D$6:D276,"Car or van"),"")</f>
      </c>
      <c r="G276" s="18">
        <f>IF(E276="","",IF(D276="Car or van",(MIN(F276,MileageCarThreshold)-MIN(F276-E276,MileageCarThreshold))*MileageCarFirst+(MAX(F276-MileageCarThreshold,0)-MAX(F276-E276-MileageCarThreshold,0))*MileageCarAfter,IF(D276="Motorcycle",E276*MileageMotorcycle,IF(D276="Bicycle",E276*MileageBicycle,0))))</f>
      </c>
    </row>
    <row r="277" spans="1:7" x14ac:dyDescent="0.25">
      <c r="A277" s="7"/>
      <c r="B277" s="10"/>
      <c r="C277" s="10"/>
      <c r="D277" s="10"/>
      <c r="E277" s="14"/>
      <c r="F277" s="19">
        <f>IF(D277="Car or van",SUMIFS($E$6:E277,$D$6:D277,"Car or van"),"")</f>
      </c>
      <c r="G277" s="18">
        <f>IF(E277="","",IF(D277="Car or van",(MIN(F277,MileageCarThreshold)-MIN(F277-E277,MileageCarThreshold))*MileageCarFirst+(MAX(F277-MileageCarThreshold,0)-MAX(F277-E277-MileageCarThreshold,0))*MileageCarAfter,IF(D277="Motorcycle",E277*MileageMotorcycle,IF(D277="Bicycle",E277*MileageBicycle,0))))</f>
      </c>
    </row>
    <row r="278" spans="1:7" x14ac:dyDescent="0.25">
      <c r="A278" s="7"/>
      <c r="B278" s="10"/>
      <c r="C278" s="10"/>
      <c r="D278" s="10"/>
      <c r="E278" s="14"/>
      <c r="F278" s="19">
        <f>IF(D278="Car or van",SUMIFS($E$6:E278,$D$6:D278,"Car or van"),"")</f>
      </c>
      <c r="G278" s="18">
        <f>IF(E278="","",IF(D278="Car or van",(MIN(F278,MileageCarThreshold)-MIN(F278-E278,MileageCarThreshold))*MileageCarFirst+(MAX(F278-MileageCarThreshold,0)-MAX(F278-E278-MileageCarThreshold,0))*MileageCarAfter,IF(D278="Motorcycle",E278*MileageMotorcycle,IF(D278="Bicycle",E278*MileageBicycle,0))))</f>
      </c>
    </row>
    <row r="279" spans="1:7" x14ac:dyDescent="0.25">
      <c r="A279" s="7"/>
      <c r="B279" s="10"/>
      <c r="C279" s="10"/>
      <c r="D279" s="10"/>
      <c r="E279" s="14"/>
      <c r="F279" s="19">
        <f>IF(D279="Car or van",SUMIFS($E$6:E279,$D$6:D279,"Car or van"),"")</f>
      </c>
      <c r="G279" s="18">
        <f>IF(E279="","",IF(D279="Car or van",(MIN(F279,MileageCarThreshold)-MIN(F279-E279,MileageCarThreshold))*MileageCarFirst+(MAX(F279-MileageCarThreshold,0)-MAX(F279-E279-MileageCarThreshold,0))*MileageCarAfter,IF(D279="Motorcycle",E279*MileageMotorcycle,IF(D279="Bicycle",E279*MileageBicycle,0))))</f>
      </c>
    </row>
    <row r="280" spans="1:7" x14ac:dyDescent="0.25">
      <c r="A280" s="7"/>
      <c r="B280" s="10"/>
      <c r="C280" s="10"/>
      <c r="D280" s="10"/>
      <c r="E280" s="14"/>
      <c r="F280" s="19">
        <f>IF(D280="Car or van",SUMIFS($E$6:E280,$D$6:D280,"Car or van"),"")</f>
      </c>
      <c r="G280" s="18">
        <f>IF(E280="","",IF(D280="Car or van",(MIN(F280,MileageCarThreshold)-MIN(F280-E280,MileageCarThreshold))*MileageCarFirst+(MAX(F280-MileageCarThreshold,0)-MAX(F280-E280-MileageCarThreshold,0))*MileageCarAfter,IF(D280="Motorcycle",E280*MileageMotorcycle,IF(D280="Bicycle",E280*MileageBicycle,0))))</f>
      </c>
    </row>
    <row r="281" spans="1:7" x14ac:dyDescent="0.25">
      <c r="A281" s="7"/>
      <c r="B281" s="10"/>
      <c r="C281" s="10"/>
      <c r="D281" s="10"/>
      <c r="E281" s="14"/>
      <c r="F281" s="19">
        <f>IF(D281="Car or van",SUMIFS($E$6:E281,$D$6:D281,"Car or van"),"")</f>
      </c>
      <c r="G281" s="18">
        <f>IF(E281="","",IF(D281="Car or van",(MIN(F281,MileageCarThreshold)-MIN(F281-E281,MileageCarThreshold))*MileageCarFirst+(MAX(F281-MileageCarThreshold,0)-MAX(F281-E281-MileageCarThreshold,0))*MileageCarAfter,IF(D281="Motorcycle",E281*MileageMotorcycle,IF(D281="Bicycle",E281*MileageBicycle,0))))</f>
      </c>
    </row>
    <row r="282" spans="1:7" x14ac:dyDescent="0.25">
      <c r="A282" s="7"/>
      <c r="B282" s="10"/>
      <c r="C282" s="10"/>
      <c r="D282" s="10"/>
      <c r="E282" s="14"/>
      <c r="F282" s="19">
        <f>IF(D282="Car or van",SUMIFS($E$6:E282,$D$6:D282,"Car or van"),"")</f>
      </c>
      <c r="G282" s="18">
        <f>IF(E282="","",IF(D282="Car or van",(MIN(F282,MileageCarThreshold)-MIN(F282-E282,MileageCarThreshold))*MileageCarFirst+(MAX(F282-MileageCarThreshold,0)-MAX(F282-E282-MileageCarThreshold,0))*MileageCarAfter,IF(D282="Motorcycle",E282*MileageMotorcycle,IF(D282="Bicycle",E282*MileageBicycle,0))))</f>
      </c>
    </row>
    <row r="283" spans="1:7" x14ac:dyDescent="0.25">
      <c r="A283" s="7"/>
      <c r="B283" s="10"/>
      <c r="C283" s="10"/>
      <c r="D283" s="10"/>
      <c r="E283" s="14"/>
      <c r="F283" s="19">
        <f>IF(D283="Car or van",SUMIFS($E$6:E283,$D$6:D283,"Car or van"),"")</f>
      </c>
      <c r="G283" s="18">
        <f>IF(E283="","",IF(D283="Car or van",(MIN(F283,MileageCarThreshold)-MIN(F283-E283,MileageCarThreshold))*MileageCarFirst+(MAX(F283-MileageCarThreshold,0)-MAX(F283-E283-MileageCarThreshold,0))*MileageCarAfter,IF(D283="Motorcycle",E283*MileageMotorcycle,IF(D283="Bicycle",E283*MileageBicycle,0))))</f>
      </c>
    </row>
    <row r="284" spans="1:7" x14ac:dyDescent="0.25">
      <c r="A284" s="7"/>
      <c r="B284" s="10"/>
      <c r="C284" s="10"/>
      <c r="D284" s="10"/>
      <c r="E284" s="14"/>
      <c r="F284" s="19">
        <f>IF(D284="Car or van",SUMIFS($E$6:E284,$D$6:D284,"Car or van"),"")</f>
      </c>
      <c r="G284" s="18">
        <f>IF(E284="","",IF(D284="Car or van",(MIN(F284,MileageCarThreshold)-MIN(F284-E284,MileageCarThreshold))*MileageCarFirst+(MAX(F284-MileageCarThreshold,0)-MAX(F284-E284-MileageCarThreshold,0))*MileageCarAfter,IF(D284="Motorcycle",E284*MileageMotorcycle,IF(D284="Bicycle",E284*MileageBicycle,0))))</f>
      </c>
    </row>
    <row r="285" spans="1:7" x14ac:dyDescent="0.25">
      <c r="A285" s="7"/>
      <c r="B285" s="10"/>
      <c r="C285" s="10"/>
      <c r="D285" s="10"/>
      <c r="E285" s="14"/>
      <c r="F285" s="19">
        <f>IF(D285="Car or van",SUMIFS($E$6:E285,$D$6:D285,"Car or van"),"")</f>
      </c>
      <c r="G285" s="18">
        <f>IF(E285="","",IF(D285="Car or van",(MIN(F285,MileageCarThreshold)-MIN(F285-E285,MileageCarThreshold))*MileageCarFirst+(MAX(F285-MileageCarThreshold,0)-MAX(F285-E285-MileageCarThreshold,0))*MileageCarAfter,IF(D285="Motorcycle",E285*MileageMotorcycle,IF(D285="Bicycle",E285*MileageBicycle,0))))</f>
      </c>
    </row>
    <row r="286" spans="1:7" x14ac:dyDescent="0.25">
      <c r="A286" s="7"/>
      <c r="B286" s="10"/>
      <c r="C286" s="10"/>
      <c r="D286" s="10"/>
      <c r="E286" s="14"/>
      <c r="F286" s="19">
        <f>IF(D286="Car or van",SUMIFS($E$6:E286,$D$6:D286,"Car or van"),"")</f>
      </c>
      <c r="G286" s="18">
        <f>IF(E286="","",IF(D286="Car or van",(MIN(F286,MileageCarThreshold)-MIN(F286-E286,MileageCarThreshold))*MileageCarFirst+(MAX(F286-MileageCarThreshold,0)-MAX(F286-E286-MileageCarThreshold,0))*MileageCarAfter,IF(D286="Motorcycle",E286*MileageMotorcycle,IF(D286="Bicycle",E286*MileageBicycle,0))))</f>
      </c>
    </row>
    <row r="287" spans="1:7" x14ac:dyDescent="0.25">
      <c r="A287" s="7"/>
      <c r="B287" s="10"/>
      <c r="C287" s="10"/>
      <c r="D287" s="10"/>
      <c r="E287" s="14"/>
      <c r="F287" s="19">
        <f>IF(D287="Car or van",SUMIFS($E$6:E287,$D$6:D287,"Car or van"),"")</f>
      </c>
      <c r="G287" s="18">
        <f>IF(E287="","",IF(D287="Car or van",(MIN(F287,MileageCarThreshold)-MIN(F287-E287,MileageCarThreshold))*MileageCarFirst+(MAX(F287-MileageCarThreshold,0)-MAX(F287-E287-MileageCarThreshold,0))*MileageCarAfter,IF(D287="Motorcycle",E287*MileageMotorcycle,IF(D287="Bicycle",E287*MileageBicycle,0))))</f>
      </c>
    </row>
    <row r="288" spans="1:7" x14ac:dyDescent="0.25">
      <c r="A288" s="7"/>
      <c r="B288" s="10"/>
      <c r="C288" s="10"/>
      <c r="D288" s="10"/>
      <c r="E288" s="14"/>
      <c r="F288" s="19">
        <f>IF(D288="Car or van",SUMIFS($E$6:E288,$D$6:D288,"Car or van"),"")</f>
      </c>
      <c r="G288" s="18">
        <f>IF(E288="","",IF(D288="Car or van",(MIN(F288,MileageCarThreshold)-MIN(F288-E288,MileageCarThreshold))*MileageCarFirst+(MAX(F288-MileageCarThreshold,0)-MAX(F288-E288-MileageCarThreshold,0))*MileageCarAfter,IF(D288="Motorcycle",E288*MileageMotorcycle,IF(D288="Bicycle",E288*MileageBicycle,0))))</f>
      </c>
    </row>
    <row r="289" spans="1:7" x14ac:dyDescent="0.25">
      <c r="A289" s="7"/>
      <c r="B289" s="10"/>
      <c r="C289" s="10"/>
      <c r="D289" s="10"/>
      <c r="E289" s="14"/>
      <c r="F289" s="19">
        <f>IF(D289="Car or van",SUMIFS($E$6:E289,$D$6:D289,"Car or van"),"")</f>
      </c>
      <c r="G289" s="18">
        <f>IF(E289="","",IF(D289="Car or van",(MIN(F289,MileageCarThreshold)-MIN(F289-E289,MileageCarThreshold))*MileageCarFirst+(MAX(F289-MileageCarThreshold,0)-MAX(F289-E289-MileageCarThreshold,0))*MileageCarAfter,IF(D289="Motorcycle",E289*MileageMotorcycle,IF(D289="Bicycle",E289*MileageBicycle,0))))</f>
      </c>
    </row>
    <row r="290" spans="1:7" x14ac:dyDescent="0.25">
      <c r="A290" s="7"/>
      <c r="B290" s="10"/>
      <c r="C290" s="10"/>
      <c r="D290" s="10"/>
      <c r="E290" s="14"/>
      <c r="F290" s="19">
        <f>IF(D290="Car or van",SUMIFS($E$6:E290,$D$6:D290,"Car or van"),"")</f>
      </c>
      <c r="G290" s="18">
        <f>IF(E290="","",IF(D290="Car or van",(MIN(F290,MileageCarThreshold)-MIN(F290-E290,MileageCarThreshold))*MileageCarFirst+(MAX(F290-MileageCarThreshold,0)-MAX(F290-E290-MileageCarThreshold,0))*MileageCarAfter,IF(D290="Motorcycle",E290*MileageMotorcycle,IF(D290="Bicycle",E290*MileageBicycle,0))))</f>
      </c>
    </row>
    <row r="291" spans="1:7" x14ac:dyDescent="0.25">
      <c r="A291" s="7"/>
      <c r="B291" s="10"/>
      <c r="C291" s="10"/>
      <c r="D291" s="10"/>
      <c r="E291" s="14"/>
      <c r="F291" s="19">
        <f>IF(D291="Car or van",SUMIFS($E$6:E291,$D$6:D291,"Car or van"),"")</f>
      </c>
      <c r="G291" s="18">
        <f>IF(E291="","",IF(D291="Car or van",(MIN(F291,MileageCarThreshold)-MIN(F291-E291,MileageCarThreshold))*MileageCarFirst+(MAX(F291-MileageCarThreshold,0)-MAX(F291-E291-MileageCarThreshold,0))*MileageCarAfter,IF(D291="Motorcycle",E291*MileageMotorcycle,IF(D291="Bicycle",E291*MileageBicycle,0))))</f>
      </c>
    </row>
    <row r="292" spans="1:7" x14ac:dyDescent="0.25">
      <c r="A292" s="7"/>
      <c r="B292" s="10"/>
      <c r="C292" s="10"/>
      <c r="D292" s="10"/>
      <c r="E292" s="14"/>
      <c r="F292" s="19">
        <f>IF(D292="Car or van",SUMIFS($E$6:E292,$D$6:D292,"Car or van"),"")</f>
      </c>
      <c r="G292" s="18">
        <f>IF(E292="","",IF(D292="Car or van",(MIN(F292,MileageCarThreshold)-MIN(F292-E292,MileageCarThreshold))*MileageCarFirst+(MAX(F292-MileageCarThreshold,0)-MAX(F292-E292-MileageCarThreshold,0))*MileageCarAfter,IF(D292="Motorcycle",E292*MileageMotorcycle,IF(D292="Bicycle",E292*MileageBicycle,0))))</f>
      </c>
    </row>
    <row r="293" spans="1:7" x14ac:dyDescent="0.25">
      <c r="A293" s="7"/>
      <c r="B293" s="10"/>
      <c r="C293" s="10"/>
      <c r="D293" s="10"/>
      <c r="E293" s="14"/>
      <c r="F293" s="19">
        <f>IF(D293="Car or van",SUMIFS($E$6:E293,$D$6:D293,"Car or van"),"")</f>
      </c>
      <c r="G293" s="18">
        <f>IF(E293="","",IF(D293="Car or van",(MIN(F293,MileageCarThreshold)-MIN(F293-E293,MileageCarThreshold))*MileageCarFirst+(MAX(F293-MileageCarThreshold,0)-MAX(F293-E293-MileageCarThreshold,0))*MileageCarAfter,IF(D293="Motorcycle",E293*MileageMotorcycle,IF(D293="Bicycle",E293*MileageBicycle,0))))</f>
      </c>
    </row>
    <row r="294" spans="1:7" x14ac:dyDescent="0.25">
      <c r="A294" s="7"/>
      <c r="B294" s="10"/>
      <c r="C294" s="10"/>
      <c r="D294" s="10"/>
      <c r="E294" s="14"/>
      <c r="F294" s="19">
        <f>IF(D294="Car or van",SUMIFS($E$6:E294,$D$6:D294,"Car or van"),"")</f>
      </c>
      <c r="G294" s="18">
        <f>IF(E294="","",IF(D294="Car or van",(MIN(F294,MileageCarThreshold)-MIN(F294-E294,MileageCarThreshold))*MileageCarFirst+(MAX(F294-MileageCarThreshold,0)-MAX(F294-E294-MileageCarThreshold,0))*MileageCarAfter,IF(D294="Motorcycle",E294*MileageMotorcycle,IF(D294="Bicycle",E294*MileageBicycle,0))))</f>
      </c>
    </row>
    <row r="295" spans="1:7" x14ac:dyDescent="0.25">
      <c r="A295" s="7"/>
      <c r="B295" s="10"/>
      <c r="C295" s="10"/>
      <c r="D295" s="10"/>
      <c r="E295" s="14"/>
      <c r="F295" s="19">
        <f>IF(D295="Car or van",SUMIFS($E$6:E295,$D$6:D295,"Car or van"),"")</f>
      </c>
      <c r="G295" s="18">
        <f>IF(E295="","",IF(D295="Car or van",(MIN(F295,MileageCarThreshold)-MIN(F295-E295,MileageCarThreshold))*MileageCarFirst+(MAX(F295-MileageCarThreshold,0)-MAX(F295-E295-MileageCarThreshold,0))*MileageCarAfter,IF(D295="Motorcycle",E295*MileageMotorcycle,IF(D295="Bicycle",E295*MileageBicycle,0))))</f>
      </c>
    </row>
    <row r="296" spans="1:7" x14ac:dyDescent="0.25">
      <c r="A296" s="7"/>
      <c r="B296" s="10"/>
      <c r="C296" s="10"/>
      <c r="D296" s="10"/>
      <c r="E296" s="14"/>
      <c r="F296" s="19">
        <f>IF(D296="Car or van",SUMIFS($E$6:E296,$D$6:D296,"Car or van"),"")</f>
      </c>
      <c r="G296" s="18">
        <f>IF(E296="","",IF(D296="Car or van",(MIN(F296,MileageCarThreshold)-MIN(F296-E296,MileageCarThreshold))*MileageCarFirst+(MAX(F296-MileageCarThreshold,0)-MAX(F296-E296-MileageCarThreshold,0))*MileageCarAfter,IF(D296="Motorcycle",E296*MileageMotorcycle,IF(D296="Bicycle",E296*MileageBicycle,0))))</f>
      </c>
    </row>
    <row r="297" spans="1:7" x14ac:dyDescent="0.25">
      <c r="A297" s="7"/>
      <c r="B297" s="10"/>
      <c r="C297" s="10"/>
      <c r="D297" s="10"/>
      <c r="E297" s="14"/>
      <c r="F297" s="19">
        <f>IF(D297="Car or van",SUMIFS($E$6:E297,$D$6:D297,"Car or van"),"")</f>
      </c>
      <c r="G297" s="18">
        <f>IF(E297="","",IF(D297="Car or van",(MIN(F297,MileageCarThreshold)-MIN(F297-E297,MileageCarThreshold))*MileageCarFirst+(MAX(F297-MileageCarThreshold,0)-MAX(F297-E297-MileageCarThreshold,0))*MileageCarAfter,IF(D297="Motorcycle",E297*MileageMotorcycle,IF(D297="Bicycle",E297*MileageBicycle,0))))</f>
      </c>
    </row>
    <row r="298" spans="1:7" x14ac:dyDescent="0.25">
      <c r="A298" s="7"/>
      <c r="B298" s="10"/>
      <c r="C298" s="10"/>
      <c r="D298" s="10"/>
      <c r="E298" s="14"/>
      <c r="F298" s="19">
        <f>IF(D298="Car or van",SUMIFS($E$6:E298,$D$6:D298,"Car or van"),"")</f>
      </c>
      <c r="G298" s="18">
        <f>IF(E298="","",IF(D298="Car or van",(MIN(F298,MileageCarThreshold)-MIN(F298-E298,MileageCarThreshold))*MileageCarFirst+(MAX(F298-MileageCarThreshold,0)-MAX(F298-E298-MileageCarThreshold,0))*MileageCarAfter,IF(D298="Motorcycle",E298*MileageMotorcycle,IF(D298="Bicycle",E298*MileageBicycle,0))))</f>
      </c>
    </row>
    <row r="299" spans="1:7" x14ac:dyDescent="0.25">
      <c r="A299" s="7"/>
      <c r="B299" s="10"/>
      <c r="C299" s="10"/>
      <c r="D299" s="10"/>
      <c r="E299" s="14"/>
      <c r="F299" s="19">
        <f>IF(D299="Car or van",SUMIFS($E$6:E299,$D$6:D299,"Car or van"),"")</f>
      </c>
      <c r="G299" s="18">
        <f>IF(E299="","",IF(D299="Car or van",(MIN(F299,MileageCarThreshold)-MIN(F299-E299,MileageCarThreshold))*MileageCarFirst+(MAX(F299-MileageCarThreshold,0)-MAX(F299-E299-MileageCarThreshold,0))*MileageCarAfter,IF(D299="Motorcycle",E299*MileageMotorcycle,IF(D299="Bicycle",E299*MileageBicycle,0))))</f>
      </c>
    </row>
    <row r="300" spans="1:7" x14ac:dyDescent="0.25">
      <c r="A300" s="7"/>
      <c r="B300" s="10"/>
      <c r="C300" s="10"/>
      <c r="D300" s="10"/>
      <c r="E300" s="14"/>
      <c r="F300" s="19">
        <f>IF(D300="Car or van",SUMIFS($E$6:E300,$D$6:D300,"Car or van"),"")</f>
      </c>
      <c r="G300" s="18">
        <f>IF(E300="","",IF(D300="Car or van",(MIN(F300,MileageCarThreshold)-MIN(F300-E300,MileageCarThreshold))*MileageCarFirst+(MAX(F300-MileageCarThreshold,0)-MAX(F300-E300-MileageCarThreshold,0))*MileageCarAfter,IF(D300="Motorcycle",E300*MileageMotorcycle,IF(D300="Bicycle",E300*MileageBicycle,0))))</f>
      </c>
    </row>
    <row r="301" spans="1:7" x14ac:dyDescent="0.25">
      <c r="A301" s="7"/>
      <c r="B301" s="10"/>
      <c r="C301" s="10"/>
      <c r="D301" s="10"/>
      <c r="E301" s="14"/>
      <c r="F301" s="19">
        <f>IF(D301="Car or van",SUMIFS($E$6:E301,$D$6:D301,"Car or van"),"")</f>
      </c>
      <c r="G301" s="18">
        <f>IF(E301="","",IF(D301="Car or van",(MIN(F301,MileageCarThreshold)-MIN(F301-E301,MileageCarThreshold))*MileageCarFirst+(MAX(F301-MileageCarThreshold,0)-MAX(F301-E301-MileageCarThreshold,0))*MileageCarAfter,IF(D301="Motorcycle",E301*MileageMotorcycle,IF(D301="Bicycle",E301*MileageBicycle,0))))</f>
      </c>
    </row>
    <row r="302" spans="1:7" x14ac:dyDescent="0.25">
      <c r="A302" s="7"/>
      <c r="B302" s="10"/>
      <c r="C302" s="10"/>
      <c r="D302" s="10"/>
      <c r="E302" s="14"/>
      <c r="F302" s="19">
        <f>IF(D302="Car or van",SUMIFS($E$6:E302,$D$6:D302,"Car or van"),"")</f>
      </c>
      <c r="G302" s="18">
        <f>IF(E302="","",IF(D302="Car or van",(MIN(F302,MileageCarThreshold)-MIN(F302-E302,MileageCarThreshold))*MileageCarFirst+(MAX(F302-MileageCarThreshold,0)-MAX(F302-E302-MileageCarThreshold,0))*MileageCarAfter,IF(D302="Motorcycle",E302*MileageMotorcycle,IF(D302="Bicycle",E302*MileageBicycle,0))))</f>
      </c>
    </row>
    <row r="303" spans="1:7" x14ac:dyDescent="0.25">
      <c r="A303" s="7"/>
      <c r="B303" s="10"/>
      <c r="C303" s="10"/>
      <c r="D303" s="10"/>
      <c r="E303" s="14"/>
      <c r="F303" s="19">
        <f>IF(D303="Car or van",SUMIFS($E$6:E303,$D$6:D303,"Car or van"),"")</f>
      </c>
      <c r="G303" s="18">
        <f>IF(E303="","",IF(D303="Car or van",(MIN(F303,MileageCarThreshold)-MIN(F303-E303,MileageCarThreshold))*MileageCarFirst+(MAX(F303-MileageCarThreshold,0)-MAX(F303-E303-MileageCarThreshold,0))*MileageCarAfter,IF(D303="Motorcycle",E303*MileageMotorcycle,IF(D303="Bicycle",E303*MileageBicycle,0))))</f>
      </c>
    </row>
    <row r="304" spans="1:7" x14ac:dyDescent="0.25">
      <c r="A304" s="7"/>
      <c r="B304" s="10"/>
      <c r="C304" s="10"/>
      <c r="D304" s="10"/>
      <c r="E304" s="14"/>
      <c r="F304" s="19">
        <f>IF(D304="Car or van",SUMIFS($E$6:E304,$D$6:D304,"Car or van"),"")</f>
      </c>
      <c r="G304" s="18">
        <f>IF(E304="","",IF(D304="Car or van",(MIN(F304,MileageCarThreshold)-MIN(F304-E304,MileageCarThreshold))*MileageCarFirst+(MAX(F304-MileageCarThreshold,0)-MAX(F304-E304-MileageCarThreshold,0))*MileageCarAfter,IF(D304="Motorcycle",E304*MileageMotorcycle,IF(D304="Bicycle",E304*MileageBicycle,0))))</f>
      </c>
    </row>
    <row r="305" spans="1:7" x14ac:dyDescent="0.25">
      <c r="A305" s="7"/>
      <c r="B305" s="10"/>
      <c r="C305" s="10"/>
      <c r="D305" s="10"/>
      <c r="E305" s="14"/>
      <c r="F305" s="19">
        <f>IF(D305="Car or van",SUMIFS($E$6:E305,$D$6:D305,"Car or van"),"")</f>
      </c>
      <c r="G305" s="18">
        <f>IF(E305="","",IF(D305="Car or van",(MIN(F305,MileageCarThreshold)-MIN(F305-E305,MileageCarThreshold))*MileageCarFirst+(MAX(F305-MileageCarThreshold,0)-MAX(F305-E305-MileageCarThreshold,0))*MileageCarAfter,IF(D305="Motorcycle",E305*MileageMotorcycle,IF(D305="Bicycle",E305*MileageBicycle,0))))</f>
      </c>
    </row>
    <row r="306" spans="1:7" x14ac:dyDescent="0.25">
      <c r="A306" s="7"/>
      <c r="B306" s="10"/>
      <c r="C306" s="10"/>
      <c r="D306" s="10"/>
      <c r="E306" s="14"/>
      <c r="F306" s="19">
        <f>IF(D306="Car or van",SUMIFS($E$6:E306,$D$6:D306,"Car or van"),"")</f>
      </c>
      <c r="G306" s="18">
        <f>IF(E306="","",IF(D306="Car or van",(MIN(F306,MileageCarThreshold)-MIN(F306-E306,MileageCarThreshold))*MileageCarFirst+(MAX(F306-MileageCarThreshold,0)-MAX(F306-E306-MileageCarThreshold,0))*MileageCarAfter,IF(D306="Motorcycle",E306*MileageMotorcycle,IF(D306="Bicycle",E306*MileageBicycle,0))))</f>
      </c>
    </row>
    <row r="307" spans="1:7" x14ac:dyDescent="0.25">
      <c r="A307" s="7"/>
      <c r="B307" s="10"/>
      <c r="C307" s="10"/>
      <c r="D307" s="10"/>
      <c r="E307" s="14"/>
      <c r="F307" s="19">
        <f>IF(D307="Car or van",SUMIFS($E$6:E307,$D$6:D307,"Car or van"),"")</f>
      </c>
      <c r="G307" s="18">
        <f>IF(E307="","",IF(D307="Car or van",(MIN(F307,MileageCarThreshold)-MIN(F307-E307,MileageCarThreshold))*MileageCarFirst+(MAX(F307-MileageCarThreshold,0)-MAX(F307-E307-MileageCarThreshold,0))*MileageCarAfter,IF(D307="Motorcycle",E307*MileageMotorcycle,IF(D307="Bicycle",E307*MileageBicycle,0))))</f>
      </c>
    </row>
    <row r="308" spans="1:7" x14ac:dyDescent="0.25">
      <c r="A308" s="7"/>
      <c r="B308" s="10"/>
      <c r="C308" s="10"/>
      <c r="D308" s="10"/>
      <c r="E308" s="14"/>
      <c r="F308" s="19">
        <f>IF(D308="Car or van",SUMIFS($E$6:E308,$D$6:D308,"Car or van"),"")</f>
      </c>
      <c r="G308" s="18">
        <f>IF(E308="","",IF(D308="Car or van",(MIN(F308,MileageCarThreshold)-MIN(F308-E308,MileageCarThreshold))*MileageCarFirst+(MAX(F308-MileageCarThreshold,0)-MAX(F308-E308-MileageCarThreshold,0))*MileageCarAfter,IF(D308="Motorcycle",E308*MileageMotorcycle,IF(D308="Bicycle",E308*MileageBicycle,0))))</f>
      </c>
    </row>
    <row r="309" spans="1:7" x14ac:dyDescent="0.25">
      <c r="A309" s="7"/>
      <c r="B309" s="10"/>
      <c r="C309" s="10"/>
      <c r="D309" s="10"/>
      <c r="E309" s="14"/>
      <c r="F309" s="19">
        <f>IF(D309="Car or van",SUMIFS($E$6:E309,$D$6:D309,"Car or van"),"")</f>
      </c>
      <c r="G309" s="18">
        <f>IF(E309="","",IF(D309="Car or van",(MIN(F309,MileageCarThreshold)-MIN(F309-E309,MileageCarThreshold))*MileageCarFirst+(MAX(F309-MileageCarThreshold,0)-MAX(F309-E309-MileageCarThreshold,0))*MileageCarAfter,IF(D309="Motorcycle",E309*MileageMotorcycle,IF(D309="Bicycle",E309*MileageBicycle,0))))</f>
      </c>
    </row>
    <row r="310" spans="1:7" x14ac:dyDescent="0.25">
      <c r="A310" s="7"/>
      <c r="B310" s="10"/>
      <c r="C310" s="10"/>
      <c r="D310" s="10"/>
      <c r="E310" s="14"/>
      <c r="F310" s="19">
        <f>IF(D310="Car or van",SUMIFS($E$6:E310,$D$6:D310,"Car or van"),"")</f>
      </c>
      <c r="G310" s="18">
        <f>IF(E310="","",IF(D310="Car or van",(MIN(F310,MileageCarThreshold)-MIN(F310-E310,MileageCarThreshold))*MileageCarFirst+(MAX(F310-MileageCarThreshold,0)-MAX(F310-E310-MileageCarThreshold,0))*MileageCarAfter,IF(D310="Motorcycle",E310*MileageMotorcycle,IF(D310="Bicycle",E310*MileageBicycle,0))))</f>
      </c>
    </row>
    <row r="311" spans="1:7" x14ac:dyDescent="0.25">
      <c r="A311" s="7"/>
      <c r="B311" s="10"/>
      <c r="C311" s="10"/>
      <c r="D311" s="10"/>
      <c r="E311" s="14"/>
      <c r="F311" s="19">
        <f>IF(D311="Car or van",SUMIFS($E$6:E311,$D$6:D311,"Car or van"),"")</f>
      </c>
      <c r="G311" s="18">
        <f>IF(E311="","",IF(D311="Car or van",(MIN(F311,MileageCarThreshold)-MIN(F311-E311,MileageCarThreshold))*MileageCarFirst+(MAX(F311-MileageCarThreshold,0)-MAX(F311-E311-MileageCarThreshold,0))*MileageCarAfter,IF(D311="Motorcycle",E311*MileageMotorcycle,IF(D311="Bicycle",E311*MileageBicycle,0))))</f>
      </c>
    </row>
    <row r="312" spans="1:7" x14ac:dyDescent="0.25">
      <c r="A312" s="7"/>
      <c r="B312" s="10"/>
      <c r="C312" s="10"/>
      <c r="D312" s="10"/>
      <c r="E312" s="14"/>
      <c r="F312" s="19">
        <f>IF(D312="Car or van",SUMIFS($E$6:E312,$D$6:D312,"Car or van"),"")</f>
      </c>
      <c r="G312" s="18">
        <f>IF(E312="","",IF(D312="Car or van",(MIN(F312,MileageCarThreshold)-MIN(F312-E312,MileageCarThreshold))*MileageCarFirst+(MAX(F312-MileageCarThreshold,0)-MAX(F312-E312-MileageCarThreshold,0))*MileageCarAfter,IF(D312="Motorcycle",E312*MileageMotorcycle,IF(D312="Bicycle",E312*MileageBicycle,0))))</f>
      </c>
    </row>
    <row r="313" spans="1:7" x14ac:dyDescent="0.25">
      <c r="A313" s="7"/>
      <c r="B313" s="10"/>
      <c r="C313" s="10"/>
      <c r="D313" s="10"/>
      <c r="E313" s="14"/>
      <c r="F313" s="19">
        <f>IF(D313="Car or van",SUMIFS($E$6:E313,$D$6:D313,"Car or van"),"")</f>
      </c>
      <c r="G313" s="18">
        <f>IF(E313="","",IF(D313="Car or van",(MIN(F313,MileageCarThreshold)-MIN(F313-E313,MileageCarThreshold))*MileageCarFirst+(MAX(F313-MileageCarThreshold,0)-MAX(F313-E313-MileageCarThreshold,0))*MileageCarAfter,IF(D313="Motorcycle",E313*MileageMotorcycle,IF(D313="Bicycle",E313*MileageBicycle,0))))</f>
      </c>
    </row>
    <row r="314" spans="1:7" x14ac:dyDescent="0.25">
      <c r="A314" s="7"/>
      <c r="B314" s="10"/>
      <c r="C314" s="10"/>
      <c r="D314" s="10"/>
      <c r="E314" s="14"/>
      <c r="F314" s="19">
        <f>IF(D314="Car or van",SUMIFS($E$6:E314,$D$6:D314,"Car or van"),"")</f>
      </c>
      <c r="G314" s="18">
        <f>IF(E314="","",IF(D314="Car or van",(MIN(F314,MileageCarThreshold)-MIN(F314-E314,MileageCarThreshold))*MileageCarFirst+(MAX(F314-MileageCarThreshold,0)-MAX(F314-E314-MileageCarThreshold,0))*MileageCarAfter,IF(D314="Motorcycle",E314*MileageMotorcycle,IF(D314="Bicycle",E314*MileageBicycle,0))))</f>
      </c>
    </row>
    <row r="315" spans="1:7" x14ac:dyDescent="0.25">
      <c r="A315" s="7"/>
      <c r="B315" s="10"/>
      <c r="C315" s="10"/>
      <c r="D315" s="10"/>
      <c r="E315" s="14"/>
      <c r="F315" s="19">
        <f>IF(D315="Car or van",SUMIFS($E$6:E315,$D$6:D315,"Car or van"),"")</f>
      </c>
      <c r="G315" s="18">
        <f>IF(E315="","",IF(D315="Car or van",(MIN(F315,MileageCarThreshold)-MIN(F315-E315,MileageCarThreshold))*MileageCarFirst+(MAX(F315-MileageCarThreshold,0)-MAX(F315-E315-MileageCarThreshold,0))*MileageCarAfter,IF(D315="Motorcycle",E315*MileageMotorcycle,IF(D315="Bicycle",E315*MileageBicycle,0))))</f>
      </c>
    </row>
    <row r="316" spans="1:7" x14ac:dyDescent="0.25">
      <c r="A316" s="7"/>
      <c r="B316" s="10"/>
      <c r="C316" s="10"/>
      <c r="D316" s="10"/>
      <c r="E316" s="14"/>
      <c r="F316" s="19">
        <f>IF(D316="Car or van",SUMIFS($E$6:E316,$D$6:D316,"Car or van"),"")</f>
      </c>
      <c r="G316" s="18">
        <f>IF(E316="","",IF(D316="Car or van",(MIN(F316,MileageCarThreshold)-MIN(F316-E316,MileageCarThreshold))*MileageCarFirst+(MAX(F316-MileageCarThreshold,0)-MAX(F316-E316-MileageCarThreshold,0))*MileageCarAfter,IF(D316="Motorcycle",E316*MileageMotorcycle,IF(D316="Bicycle",E316*MileageBicycle,0))))</f>
      </c>
    </row>
    <row r="317" spans="1:7" x14ac:dyDescent="0.25">
      <c r="A317" s="7"/>
      <c r="B317" s="10"/>
      <c r="C317" s="10"/>
      <c r="D317" s="10"/>
      <c r="E317" s="14"/>
      <c r="F317" s="19">
        <f>IF(D317="Car or van",SUMIFS($E$6:E317,$D$6:D317,"Car or van"),"")</f>
      </c>
      <c r="G317" s="18">
        <f>IF(E317="","",IF(D317="Car or van",(MIN(F317,MileageCarThreshold)-MIN(F317-E317,MileageCarThreshold))*MileageCarFirst+(MAX(F317-MileageCarThreshold,0)-MAX(F317-E317-MileageCarThreshold,0))*MileageCarAfter,IF(D317="Motorcycle",E317*MileageMotorcycle,IF(D317="Bicycle",E317*MileageBicycle,0))))</f>
      </c>
    </row>
    <row r="318" spans="1:7" x14ac:dyDescent="0.25">
      <c r="A318" s="7"/>
      <c r="B318" s="10"/>
      <c r="C318" s="10"/>
      <c r="D318" s="10"/>
      <c r="E318" s="14"/>
      <c r="F318" s="19">
        <f>IF(D318="Car or van",SUMIFS($E$6:E318,$D$6:D318,"Car or van"),"")</f>
      </c>
      <c r="G318" s="18">
        <f>IF(E318="","",IF(D318="Car or van",(MIN(F318,MileageCarThreshold)-MIN(F318-E318,MileageCarThreshold))*MileageCarFirst+(MAX(F318-MileageCarThreshold,0)-MAX(F318-E318-MileageCarThreshold,0))*MileageCarAfter,IF(D318="Motorcycle",E318*MileageMotorcycle,IF(D318="Bicycle",E318*MileageBicycle,0))))</f>
      </c>
    </row>
    <row r="319" spans="1:7" x14ac:dyDescent="0.25">
      <c r="A319" s="7"/>
      <c r="B319" s="10"/>
      <c r="C319" s="10"/>
      <c r="D319" s="10"/>
      <c r="E319" s="14"/>
      <c r="F319" s="19">
        <f>IF(D319="Car or van",SUMIFS($E$6:E319,$D$6:D319,"Car or van"),"")</f>
      </c>
      <c r="G319" s="18">
        <f>IF(E319="","",IF(D319="Car or van",(MIN(F319,MileageCarThreshold)-MIN(F319-E319,MileageCarThreshold))*MileageCarFirst+(MAX(F319-MileageCarThreshold,0)-MAX(F319-E319-MileageCarThreshold,0))*MileageCarAfter,IF(D319="Motorcycle",E319*MileageMotorcycle,IF(D319="Bicycle",E319*MileageBicycle,0))))</f>
      </c>
    </row>
    <row r="320" spans="1:7" x14ac:dyDescent="0.25">
      <c r="A320" s="7"/>
      <c r="B320" s="10"/>
      <c r="C320" s="10"/>
      <c r="D320" s="10"/>
      <c r="E320" s="14"/>
      <c r="F320" s="19">
        <f>IF(D320="Car or van",SUMIFS($E$6:E320,$D$6:D320,"Car or van"),"")</f>
      </c>
      <c r="G320" s="18">
        <f>IF(E320="","",IF(D320="Car or van",(MIN(F320,MileageCarThreshold)-MIN(F320-E320,MileageCarThreshold))*MileageCarFirst+(MAX(F320-MileageCarThreshold,0)-MAX(F320-E320-MileageCarThreshold,0))*MileageCarAfter,IF(D320="Motorcycle",E320*MileageMotorcycle,IF(D320="Bicycle",E320*MileageBicycle,0))))</f>
      </c>
    </row>
    <row r="321" spans="1:7" x14ac:dyDescent="0.25">
      <c r="A321" s="7"/>
      <c r="B321" s="10"/>
      <c r="C321" s="10"/>
      <c r="D321" s="10"/>
      <c r="E321" s="14"/>
      <c r="F321" s="19">
        <f>IF(D321="Car or van",SUMIFS($E$6:E321,$D$6:D321,"Car or van"),"")</f>
      </c>
      <c r="G321" s="18">
        <f>IF(E321="","",IF(D321="Car or van",(MIN(F321,MileageCarThreshold)-MIN(F321-E321,MileageCarThreshold))*MileageCarFirst+(MAX(F321-MileageCarThreshold,0)-MAX(F321-E321-MileageCarThreshold,0))*MileageCarAfter,IF(D321="Motorcycle",E321*MileageMotorcycle,IF(D321="Bicycle",E321*MileageBicycle,0))))</f>
      </c>
    </row>
    <row r="322" spans="1:7" x14ac:dyDescent="0.25">
      <c r="A322" s="7"/>
      <c r="B322" s="10"/>
      <c r="C322" s="10"/>
      <c r="D322" s="10"/>
      <c r="E322" s="14"/>
      <c r="F322" s="19">
        <f>IF(D322="Car or van",SUMIFS($E$6:E322,$D$6:D322,"Car or van"),"")</f>
      </c>
      <c r="G322" s="18">
        <f>IF(E322="","",IF(D322="Car or van",(MIN(F322,MileageCarThreshold)-MIN(F322-E322,MileageCarThreshold))*MileageCarFirst+(MAX(F322-MileageCarThreshold,0)-MAX(F322-E322-MileageCarThreshold,0))*MileageCarAfter,IF(D322="Motorcycle",E322*MileageMotorcycle,IF(D322="Bicycle",E322*MileageBicycle,0))))</f>
      </c>
    </row>
    <row r="323" spans="1:7" x14ac:dyDescent="0.25">
      <c r="A323" s="7"/>
      <c r="B323" s="10"/>
      <c r="C323" s="10"/>
      <c r="D323" s="10"/>
      <c r="E323" s="14"/>
      <c r="F323" s="19">
        <f>IF(D323="Car or van",SUMIFS($E$6:E323,$D$6:D323,"Car or van"),"")</f>
      </c>
      <c r="G323" s="18">
        <f>IF(E323="","",IF(D323="Car or van",(MIN(F323,MileageCarThreshold)-MIN(F323-E323,MileageCarThreshold))*MileageCarFirst+(MAX(F323-MileageCarThreshold,0)-MAX(F323-E323-MileageCarThreshold,0))*MileageCarAfter,IF(D323="Motorcycle",E323*MileageMotorcycle,IF(D323="Bicycle",E323*MileageBicycle,0))))</f>
      </c>
    </row>
    <row r="324" spans="1:7" x14ac:dyDescent="0.25">
      <c r="A324" s="7"/>
      <c r="B324" s="10"/>
      <c r="C324" s="10"/>
      <c r="D324" s="10"/>
      <c r="E324" s="14"/>
      <c r="F324" s="19">
        <f>IF(D324="Car or van",SUMIFS($E$6:E324,$D$6:D324,"Car or van"),"")</f>
      </c>
      <c r="G324" s="18">
        <f>IF(E324="","",IF(D324="Car or van",(MIN(F324,MileageCarThreshold)-MIN(F324-E324,MileageCarThreshold))*MileageCarFirst+(MAX(F324-MileageCarThreshold,0)-MAX(F324-E324-MileageCarThreshold,0))*MileageCarAfter,IF(D324="Motorcycle",E324*MileageMotorcycle,IF(D324="Bicycle",E324*MileageBicycle,0))))</f>
      </c>
    </row>
    <row r="325" spans="1:7" x14ac:dyDescent="0.25">
      <c r="A325" s="7"/>
      <c r="B325" s="10"/>
      <c r="C325" s="10"/>
      <c r="D325" s="10"/>
      <c r="E325" s="14"/>
      <c r="F325" s="19">
        <f>IF(D325="Car or van",SUMIFS($E$6:E325,$D$6:D325,"Car or van"),"")</f>
      </c>
      <c r="G325" s="18">
        <f>IF(E325="","",IF(D325="Car or van",(MIN(F325,MileageCarThreshold)-MIN(F325-E325,MileageCarThreshold))*MileageCarFirst+(MAX(F325-MileageCarThreshold,0)-MAX(F325-E325-MileageCarThreshold,0))*MileageCarAfter,IF(D325="Motorcycle",E325*MileageMotorcycle,IF(D325="Bicycle",E325*MileageBicycle,0))))</f>
      </c>
    </row>
    <row r="326" spans="1:7" x14ac:dyDescent="0.25">
      <c r="A326" s="7"/>
      <c r="B326" s="10"/>
      <c r="C326" s="10"/>
      <c r="D326" s="10"/>
      <c r="E326" s="14"/>
      <c r="F326" s="19">
        <f>IF(D326="Car or van",SUMIFS($E$6:E326,$D$6:D326,"Car or van"),"")</f>
      </c>
      <c r="G326" s="18">
        <f>IF(E326="","",IF(D326="Car or van",(MIN(F326,MileageCarThreshold)-MIN(F326-E326,MileageCarThreshold))*MileageCarFirst+(MAX(F326-MileageCarThreshold,0)-MAX(F326-E326-MileageCarThreshold,0))*MileageCarAfter,IF(D326="Motorcycle",E326*MileageMotorcycle,IF(D326="Bicycle",E326*MileageBicycle,0))))</f>
      </c>
    </row>
    <row r="327" spans="1:7" x14ac:dyDescent="0.25">
      <c r="A327" s="7"/>
      <c r="B327" s="10"/>
      <c r="C327" s="10"/>
      <c r="D327" s="10"/>
      <c r="E327" s="14"/>
      <c r="F327" s="19">
        <f>IF(D327="Car or van",SUMIFS($E$6:E327,$D$6:D327,"Car or van"),"")</f>
      </c>
      <c r="G327" s="18">
        <f>IF(E327="","",IF(D327="Car or van",(MIN(F327,MileageCarThreshold)-MIN(F327-E327,MileageCarThreshold))*MileageCarFirst+(MAX(F327-MileageCarThreshold,0)-MAX(F327-E327-MileageCarThreshold,0))*MileageCarAfter,IF(D327="Motorcycle",E327*MileageMotorcycle,IF(D327="Bicycle",E327*MileageBicycle,0))))</f>
      </c>
    </row>
    <row r="328" spans="1:7" x14ac:dyDescent="0.25">
      <c r="A328" s="7"/>
      <c r="B328" s="10"/>
      <c r="C328" s="10"/>
      <c r="D328" s="10"/>
      <c r="E328" s="14"/>
      <c r="F328" s="19">
        <f>IF(D328="Car or van",SUMIFS($E$6:E328,$D$6:D328,"Car or van"),"")</f>
      </c>
      <c r="G328" s="18">
        <f>IF(E328="","",IF(D328="Car or van",(MIN(F328,MileageCarThreshold)-MIN(F328-E328,MileageCarThreshold))*MileageCarFirst+(MAX(F328-MileageCarThreshold,0)-MAX(F328-E328-MileageCarThreshold,0))*MileageCarAfter,IF(D328="Motorcycle",E328*MileageMotorcycle,IF(D328="Bicycle",E328*MileageBicycle,0))))</f>
      </c>
    </row>
    <row r="329" spans="1:7" x14ac:dyDescent="0.25">
      <c r="A329" s="7"/>
      <c r="B329" s="10"/>
      <c r="C329" s="10"/>
      <c r="D329" s="10"/>
      <c r="E329" s="14"/>
      <c r="F329" s="19">
        <f>IF(D329="Car or van",SUMIFS($E$6:E329,$D$6:D329,"Car or van"),"")</f>
      </c>
      <c r="G329" s="18">
        <f>IF(E329="","",IF(D329="Car or van",(MIN(F329,MileageCarThreshold)-MIN(F329-E329,MileageCarThreshold))*MileageCarFirst+(MAX(F329-MileageCarThreshold,0)-MAX(F329-E329-MileageCarThreshold,0))*MileageCarAfter,IF(D329="Motorcycle",E329*MileageMotorcycle,IF(D329="Bicycle",E329*MileageBicycle,0))))</f>
      </c>
    </row>
    <row r="330" spans="1:7" x14ac:dyDescent="0.25">
      <c r="A330" s="7"/>
      <c r="B330" s="10"/>
      <c r="C330" s="10"/>
      <c r="D330" s="10"/>
      <c r="E330" s="14"/>
      <c r="F330" s="19">
        <f>IF(D330="Car or van",SUMIFS($E$6:E330,$D$6:D330,"Car or van"),"")</f>
      </c>
      <c r="G330" s="18">
        <f>IF(E330="","",IF(D330="Car or van",(MIN(F330,MileageCarThreshold)-MIN(F330-E330,MileageCarThreshold))*MileageCarFirst+(MAX(F330-MileageCarThreshold,0)-MAX(F330-E330-MileageCarThreshold,0))*MileageCarAfter,IF(D330="Motorcycle",E330*MileageMotorcycle,IF(D330="Bicycle",E330*MileageBicycle,0))))</f>
      </c>
    </row>
    <row r="331" spans="1:7" x14ac:dyDescent="0.25">
      <c r="A331" s="7"/>
      <c r="B331" s="10"/>
      <c r="C331" s="10"/>
      <c r="D331" s="10"/>
      <c r="E331" s="14"/>
      <c r="F331" s="19">
        <f>IF(D331="Car or van",SUMIFS($E$6:E331,$D$6:D331,"Car or van"),"")</f>
      </c>
      <c r="G331" s="18">
        <f>IF(E331="","",IF(D331="Car or van",(MIN(F331,MileageCarThreshold)-MIN(F331-E331,MileageCarThreshold))*MileageCarFirst+(MAX(F331-MileageCarThreshold,0)-MAX(F331-E331-MileageCarThreshold,0))*MileageCarAfter,IF(D331="Motorcycle",E331*MileageMotorcycle,IF(D331="Bicycle",E331*MileageBicycle,0))))</f>
      </c>
    </row>
    <row r="332" spans="1:7" x14ac:dyDescent="0.25">
      <c r="A332" s="7"/>
      <c r="B332" s="10"/>
      <c r="C332" s="10"/>
      <c r="D332" s="10"/>
      <c r="E332" s="14"/>
      <c r="F332" s="19">
        <f>IF(D332="Car or van",SUMIFS($E$6:E332,$D$6:D332,"Car or van"),"")</f>
      </c>
      <c r="G332" s="18">
        <f>IF(E332="","",IF(D332="Car or van",(MIN(F332,MileageCarThreshold)-MIN(F332-E332,MileageCarThreshold))*MileageCarFirst+(MAX(F332-MileageCarThreshold,0)-MAX(F332-E332-MileageCarThreshold,0))*MileageCarAfter,IF(D332="Motorcycle",E332*MileageMotorcycle,IF(D332="Bicycle",E332*MileageBicycle,0))))</f>
      </c>
    </row>
    <row r="333" spans="1:7" x14ac:dyDescent="0.25">
      <c r="A333" s="7"/>
      <c r="B333" s="10"/>
      <c r="C333" s="10"/>
      <c r="D333" s="10"/>
      <c r="E333" s="14"/>
      <c r="F333" s="19">
        <f>IF(D333="Car or van",SUMIFS($E$6:E333,$D$6:D333,"Car or van"),"")</f>
      </c>
      <c r="G333" s="18">
        <f>IF(E333="","",IF(D333="Car or van",(MIN(F333,MileageCarThreshold)-MIN(F333-E333,MileageCarThreshold))*MileageCarFirst+(MAX(F333-MileageCarThreshold,0)-MAX(F333-E333-MileageCarThreshold,0))*MileageCarAfter,IF(D333="Motorcycle",E333*MileageMotorcycle,IF(D333="Bicycle",E333*MileageBicycle,0))))</f>
      </c>
    </row>
    <row r="334" spans="1:7" x14ac:dyDescent="0.25">
      <c r="A334" s="7"/>
      <c r="B334" s="10"/>
      <c r="C334" s="10"/>
      <c r="D334" s="10"/>
      <c r="E334" s="14"/>
      <c r="F334" s="19">
        <f>IF(D334="Car or van",SUMIFS($E$6:E334,$D$6:D334,"Car or van"),"")</f>
      </c>
      <c r="G334" s="18">
        <f>IF(E334="","",IF(D334="Car or van",(MIN(F334,MileageCarThreshold)-MIN(F334-E334,MileageCarThreshold))*MileageCarFirst+(MAX(F334-MileageCarThreshold,0)-MAX(F334-E334-MileageCarThreshold,0))*MileageCarAfter,IF(D334="Motorcycle",E334*MileageMotorcycle,IF(D334="Bicycle",E334*MileageBicycle,0))))</f>
      </c>
    </row>
    <row r="335" spans="1:7" x14ac:dyDescent="0.25">
      <c r="A335" s="7"/>
      <c r="B335" s="10"/>
      <c r="C335" s="10"/>
      <c r="D335" s="10"/>
      <c r="E335" s="14"/>
      <c r="F335" s="19">
        <f>IF(D335="Car or van",SUMIFS($E$6:E335,$D$6:D335,"Car or van"),"")</f>
      </c>
      <c r="G335" s="18">
        <f>IF(E335="","",IF(D335="Car or van",(MIN(F335,MileageCarThreshold)-MIN(F335-E335,MileageCarThreshold))*MileageCarFirst+(MAX(F335-MileageCarThreshold,0)-MAX(F335-E335-MileageCarThreshold,0))*MileageCarAfter,IF(D335="Motorcycle",E335*MileageMotorcycle,IF(D335="Bicycle",E335*MileageBicycle,0))))</f>
      </c>
    </row>
    <row r="336" spans="1:7" x14ac:dyDescent="0.25">
      <c r="A336" s="7"/>
      <c r="B336" s="10"/>
      <c r="C336" s="10"/>
      <c r="D336" s="10"/>
      <c r="E336" s="14"/>
      <c r="F336" s="19">
        <f>IF(D336="Car or van",SUMIFS($E$6:E336,$D$6:D336,"Car or van"),"")</f>
      </c>
      <c r="G336" s="18">
        <f>IF(E336="","",IF(D336="Car or van",(MIN(F336,MileageCarThreshold)-MIN(F336-E336,MileageCarThreshold))*MileageCarFirst+(MAX(F336-MileageCarThreshold,0)-MAX(F336-E336-MileageCarThreshold,0))*MileageCarAfter,IF(D336="Motorcycle",E336*MileageMotorcycle,IF(D336="Bicycle",E336*MileageBicycle,0))))</f>
      </c>
    </row>
    <row r="337" spans="1:7" x14ac:dyDescent="0.25">
      <c r="A337" s="7"/>
      <c r="B337" s="10"/>
      <c r="C337" s="10"/>
      <c r="D337" s="10"/>
      <c r="E337" s="14"/>
      <c r="F337" s="19">
        <f>IF(D337="Car or van",SUMIFS($E$6:E337,$D$6:D337,"Car or van"),"")</f>
      </c>
      <c r="G337" s="18">
        <f>IF(E337="","",IF(D337="Car or van",(MIN(F337,MileageCarThreshold)-MIN(F337-E337,MileageCarThreshold))*MileageCarFirst+(MAX(F337-MileageCarThreshold,0)-MAX(F337-E337-MileageCarThreshold,0))*MileageCarAfter,IF(D337="Motorcycle",E337*MileageMotorcycle,IF(D337="Bicycle",E337*MileageBicycle,0))))</f>
      </c>
    </row>
    <row r="338" spans="1:7" x14ac:dyDescent="0.25">
      <c r="A338" s="7"/>
      <c r="B338" s="10"/>
      <c r="C338" s="10"/>
      <c r="D338" s="10"/>
      <c r="E338" s="14"/>
      <c r="F338" s="19">
        <f>IF(D338="Car or van",SUMIFS($E$6:E338,$D$6:D338,"Car or van"),"")</f>
      </c>
      <c r="G338" s="18">
        <f>IF(E338="","",IF(D338="Car or van",(MIN(F338,MileageCarThreshold)-MIN(F338-E338,MileageCarThreshold))*MileageCarFirst+(MAX(F338-MileageCarThreshold,0)-MAX(F338-E338-MileageCarThreshold,0))*MileageCarAfter,IF(D338="Motorcycle",E338*MileageMotorcycle,IF(D338="Bicycle",E338*MileageBicycle,0))))</f>
      </c>
    </row>
    <row r="339" spans="1:7" x14ac:dyDescent="0.25">
      <c r="A339" s="7"/>
      <c r="B339" s="10"/>
      <c r="C339" s="10"/>
      <c r="D339" s="10"/>
      <c r="E339" s="14"/>
      <c r="F339" s="19">
        <f>IF(D339="Car or van",SUMIFS($E$6:E339,$D$6:D339,"Car or van"),"")</f>
      </c>
      <c r="G339" s="18">
        <f>IF(E339="","",IF(D339="Car or van",(MIN(F339,MileageCarThreshold)-MIN(F339-E339,MileageCarThreshold))*MileageCarFirst+(MAX(F339-MileageCarThreshold,0)-MAX(F339-E339-MileageCarThreshold,0))*MileageCarAfter,IF(D339="Motorcycle",E339*MileageMotorcycle,IF(D339="Bicycle",E339*MileageBicycle,0))))</f>
      </c>
    </row>
    <row r="340" spans="1:7" x14ac:dyDescent="0.25">
      <c r="A340" s="7"/>
      <c r="B340" s="10"/>
      <c r="C340" s="10"/>
      <c r="D340" s="10"/>
      <c r="E340" s="14"/>
      <c r="F340" s="19">
        <f>IF(D340="Car or van",SUMIFS($E$6:E340,$D$6:D340,"Car or van"),"")</f>
      </c>
      <c r="G340" s="18">
        <f>IF(E340="","",IF(D340="Car or van",(MIN(F340,MileageCarThreshold)-MIN(F340-E340,MileageCarThreshold))*MileageCarFirst+(MAX(F340-MileageCarThreshold,0)-MAX(F340-E340-MileageCarThreshold,0))*MileageCarAfter,IF(D340="Motorcycle",E340*MileageMotorcycle,IF(D340="Bicycle",E340*MileageBicycle,0))))</f>
      </c>
    </row>
    <row r="341" spans="1:7" x14ac:dyDescent="0.25">
      <c r="A341" s="7"/>
      <c r="B341" s="10"/>
      <c r="C341" s="10"/>
      <c r="D341" s="10"/>
      <c r="E341" s="14"/>
      <c r="F341" s="19">
        <f>IF(D341="Car or van",SUMIFS($E$6:E341,$D$6:D341,"Car or van"),"")</f>
      </c>
      <c r="G341" s="18">
        <f>IF(E341="","",IF(D341="Car or van",(MIN(F341,MileageCarThreshold)-MIN(F341-E341,MileageCarThreshold))*MileageCarFirst+(MAX(F341-MileageCarThreshold,0)-MAX(F341-E341-MileageCarThreshold,0))*MileageCarAfter,IF(D341="Motorcycle",E341*MileageMotorcycle,IF(D341="Bicycle",E341*MileageBicycle,0))))</f>
      </c>
    </row>
    <row r="342" spans="1:7" x14ac:dyDescent="0.25">
      <c r="A342" s="7"/>
      <c r="B342" s="10"/>
      <c r="C342" s="10"/>
      <c r="D342" s="10"/>
      <c r="E342" s="14"/>
      <c r="F342" s="19">
        <f>IF(D342="Car or van",SUMIFS($E$6:E342,$D$6:D342,"Car or van"),"")</f>
      </c>
      <c r="G342" s="18">
        <f>IF(E342="","",IF(D342="Car or van",(MIN(F342,MileageCarThreshold)-MIN(F342-E342,MileageCarThreshold))*MileageCarFirst+(MAX(F342-MileageCarThreshold,0)-MAX(F342-E342-MileageCarThreshold,0))*MileageCarAfter,IF(D342="Motorcycle",E342*MileageMotorcycle,IF(D342="Bicycle",E342*MileageBicycle,0))))</f>
      </c>
    </row>
    <row r="343" spans="1:7" x14ac:dyDescent="0.25">
      <c r="A343" s="7"/>
      <c r="B343" s="10"/>
      <c r="C343" s="10"/>
      <c r="D343" s="10"/>
      <c r="E343" s="14"/>
      <c r="F343" s="19">
        <f>IF(D343="Car or van",SUMIFS($E$6:E343,$D$6:D343,"Car or van"),"")</f>
      </c>
      <c r="G343" s="18">
        <f>IF(E343="","",IF(D343="Car or van",(MIN(F343,MileageCarThreshold)-MIN(F343-E343,MileageCarThreshold))*MileageCarFirst+(MAX(F343-MileageCarThreshold,0)-MAX(F343-E343-MileageCarThreshold,0))*MileageCarAfter,IF(D343="Motorcycle",E343*MileageMotorcycle,IF(D343="Bicycle",E343*MileageBicycle,0))))</f>
      </c>
    </row>
    <row r="344" spans="1:7" x14ac:dyDescent="0.25">
      <c r="A344" s="7"/>
      <c r="B344" s="10"/>
      <c r="C344" s="10"/>
      <c r="D344" s="10"/>
      <c r="E344" s="14"/>
      <c r="F344" s="19">
        <f>IF(D344="Car or van",SUMIFS($E$6:E344,$D$6:D344,"Car or van"),"")</f>
      </c>
      <c r="G344" s="18">
        <f>IF(E344="","",IF(D344="Car or van",(MIN(F344,MileageCarThreshold)-MIN(F344-E344,MileageCarThreshold))*MileageCarFirst+(MAX(F344-MileageCarThreshold,0)-MAX(F344-E344-MileageCarThreshold,0))*MileageCarAfter,IF(D344="Motorcycle",E344*MileageMotorcycle,IF(D344="Bicycle",E344*MileageBicycle,0))))</f>
      </c>
    </row>
    <row r="345" spans="1:7" x14ac:dyDescent="0.25">
      <c r="A345" s="7"/>
      <c r="B345" s="10"/>
      <c r="C345" s="10"/>
      <c r="D345" s="10"/>
      <c r="E345" s="14"/>
      <c r="F345" s="19">
        <f>IF(D345="Car or van",SUMIFS($E$6:E345,$D$6:D345,"Car or van"),"")</f>
      </c>
      <c r="G345" s="18">
        <f>IF(E345="","",IF(D345="Car or van",(MIN(F345,MileageCarThreshold)-MIN(F345-E345,MileageCarThreshold))*MileageCarFirst+(MAX(F345-MileageCarThreshold,0)-MAX(F345-E345-MileageCarThreshold,0))*MileageCarAfter,IF(D345="Motorcycle",E345*MileageMotorcycle,IF(D345="Bicycle",E345*MileageBicycle,0))))</f>
      </c>
    </row>
    <row r="346" spans="1:7" x14ac:dyDescent="0.25">
      <c r="A346" s="7"/>
      <c r="B346" s="10"/>
      <c r="C346" s="10"/>
      <c r="D346" s="10"/>
      <c r="E346" s="14"/>
      <c r="F346" s="19">
        <f>IF(D346="Car or van",SUMIFS($E$6:E346,$D$6:D346,"Car or van"),"")</f>
      </c>
      <c r="G346" s="18">
        <f>IF(E346="","",IF(D346="Car or van",(MIN(F346,MileageCarThreshold)-MIN(F346-E346,MileageCarThreshold))*MileageCarFirst+(MAX(F346-MileageCarThreshold,0)-MAX(F346-E346-MileageCarThreshold,0))*MileageCarAfter,IF(D346="Motorcycle",E346*MileageMotorcycle,IF(D346="Bicycle",E346*MileageBicycle,0))))</f>
      </c>
    </row>
    <row r="347" spans="1:7" x14ac:dyDescent="0.25">
      <c r="A347" s="7"/>
      <c r="B347" s="10"/>
      <c r="C347" s="10"/>
      <c r="D347" s="10"/>
      <c r="E347" s="14"/>
      <c r="F347" s="19">
        <f>IF(D347="Car or van",SUMIFS($E$6:E347,$D$6:D347,"Car or van"),"")</f>
      </c>
      <c r="G347" s="18">
        <f>IF(E347="","",IF(D347="Car or van",(MIN(F347,MileageCarThreshold)-MIN(F347-E347,MileageCarThreshold))*MileageCarFirst+(MAX(F347-MileageCarThreshold,0)-MAX(F347-E347-MileageCarThreshold,0))*MileageCarAfter,IF(D347="Motorcycle",E347*MileageMotorcycle,IF(D347="Bicycle",E347*MileageBicycle,0))))</f>
      </c>
    </row>
    <row r="348" spans="1:7" x14ac:dyDescent="0.25">
      <c r="A348" s="7"/>
      <c r="B348" s="10"/>
      <c r="C348" s="10"/>
      <c r="D348" s="10"/>
      <c r="E348" s="14"/>
      <c r="F348" s="19">
        <f>IF(D348="Car or van",SUMIFS($E$6:E348,$D$6:D348,"Car or van"),"")</f>
      </c>
      <c r="G348" s="18">
        <f>IF(E348="","",IF(D348="Car or van",(MIN(F348,MileageCarThreshold)-MIN(F348-E348,MileageCarThreshold))*MileageCarFirst+(MAX(F348-MileageCarThreshold,0)-MAX(F348-E348-MileageCarThreshold,0))*MileageCarAfter,IF(D348="Motorcycle",E348*MileageMotorcycle,IF(D348="Bicycle",E348*MileageBicycle,0))))</f>
      </c>
    </row>
    <row r="349" spans="1:7" x14ac:dyDescent="0.25">
      <c r="A349" s="7"/>
      <c r="B349" s="10"/>
      <c r="C349" s="10"/>
      <c r="D349" s="10"/>
      <c r="E349" s="14"/>
      <c r="F349" s="19">
        <f>IF(D349="Car or van",SUMIFS($E$6:E349,$D$6:D349,"Car or van"),"")</f>
      </c>
      <c r="G349" s="18">
        <f>IF(E349="","",IF(D349="Car or van",(MIN(F349,MileageCarThreshold)-MIN(F349-E349,MileageCarThreshold))*MileageCarFirst+(MAX(F349-MileageCarThreshold,0)-MAX(F349-E349-MileageCarThreshold,0))*MileageCarAfter,IF(D349="Motorcycle",E349*MileageMotorcycle,IF(D349="Bicycle",E349*MileageBicycle,0))))</f>
      </c>
    </row>
    <row r="350" spans="1:7" x14ac:dyDescent="0.25">
      <c r="A350" s="7"/>
      <c r="B350" s="10"/>
      <c r="C350" s="10"/>
      <c r="D350" s="10"/>
      <c r="E350" s="14"/>
      <c r="F350" s="19">
        <f>IF(D350="Car or van",SUMIFS($E$6:E350,$D$6:D350,"Car or van"),"")</f>
      </c>
      <c r="G350" s="18">
        <f>IF(E350="","",IF(D350="Car or van",(MIN(F350,MileageCarThreshold)-MIN(F350-E350,MileageCarThreshold))*MileageCarFirst+(MAX(F350-MileageCarThreshold,0)-MAX(F350-E350-MileageCarThreshold,0))*MileageCarAfter,IF(D350="Motorcycle",E350*MileageMotorcycle,IF(D350="Bicycle",E350*MileageBicycle,0))))</f>
      </c>
    </row>
    <row r="351" spans="1:7" x14ac:dyDescent="0.25">
      <c r="A351" s="7"/>
      <c r="B351" s="10"/>
      <c r="C351" s="10"/>
      <c r="D351" s="10"/>
      <c r="E351" s="14"/>
      <c r="F351" s="19">
        <f>IF(D351="Car or van",SUMIFS($E$6:E351,$D$6:D351,"Car or van"),"")</f>
      </c>
      <c r="G351" s="18">
        <f>IF(E351="","",IF(D351="Car or van",(MIN(F351,MileageCarThreshold)-MIN(F351-E351,MileageCarThreshold))*MileageCarFirst+(MAX(F351-MileageCarThreshold,0)-MAX(F351-E351-MileageCarThreshold,0))*MileageCarAfter,IF(D351="Motorcycle",E351*MileageMotorcycle,IF(D351="Bicycle",E351*MileageBicycle,0))))</f>
      </c>
    </row>
    <row r="352" spans="1:7" x14ac:dyDescent="0.25">
      <c r="A352" s="7"/>
      <c r="B352" s="10"/>
      <c r="C352" s="10"/>
      <c r="D352" s="10"/>
      <c r="E352" s="14"/>
      <c r="F352" s="19">
        <f>IF(D352="Car or van",SUMIFS($E$6:E352,$D$6:D352,"Car or van"),"")</f>
      </c>
      <c r="G352" s="18">
        <f>IF(E352="","",IF(D352="Car or van",(MIN(F352,MileageCarThreshold)-MIN(F352-E352,MileageCarThreshold))*MileageCarFirst+(MAX(F352-MileageCarThreshold,0)-MAX(F352-E352-MileageCarThreshold,0))*MileageCarAfter,IF(D352="Motorcycle",E352*MileageMotorcycle,IF(D352="Bicycle",E352*MileageBicycle,0))))</f>
      </c>
    </row>
    <row r="353" spans="1:7" x14ac:dyDescent="0.25">
      <c r="A353" s="7"/>
      <c r="B353" s="10"/>
      <c r="C353" s="10"/>
      <c r="D353" s="10"/>
      <c r="E353" s="14"/>
      <c r="F353" s="19">
        <f>IF(D353="Car or van",SUMIFS($E$6:E353,$D$6:D353,"Car or van"),"")</f>
      </c>
      <c r="G353" s="18">
        <f>IF(E353="","",IF(D353="Car or van",(MIN(F353,MileageCarThreshold)-MIN(F353-E353,MileageCarThreshold))*MileageCarFirst+(MAX(F353-MileageCarThreshold,0)-MAX(F353-E353-MileageCarThreshold,0))*MileageCarAfter,IF(D353="Motorcycle",E353*MileageMotorcycle,IF(D353="Bicycle",E353*MileageBicycle,0))))</f>
      </c>
    </row>
    <row r="354" spans="1:7" x14ac:dyDescent="0.25">
      <c r="A354" s="7"/>
      <c r="B354" s="10"/>
      <c r="C354" s="10"/>
      <c r="D354" s="10"/>
      <c r="E354" s="14"/>
      <c r="F354" s="19">
        <f>IF(D354="Car or van",SUMIFS($E$6:E354,$D$6:D354,"Car or van"),"")</f>
      </c>
      <c r="G354" s="18">
        <f>IF(E354="","",IF(D354="Car or van",(MIN(F354,MileageCarThreshold)-MIN(F354-E354,MileageCarThreshold))*MileageCarFirst+(MAX(F354-MileageCarThreshold,0)-MAX(F354-E354-MileageCarThreshold,0))*MileageCarAfter,IF(D354="Motorcycle",E354*MileageMotorcycle,IF(D354="Bicycle",E354*MileageBicycle,0))))</f>
      </c>
    </row>
    <row r="355" spans="1:7" x14ac:dyDescent="0.25">
      <c r="A355" s="7"/>
      <c r="B355" s="10"/>
      <c r="C355" s="10"/>
      <c r="D355" s="10"/>
      <c r="E355" s="14"/>
      <c r="F355" s="19">
        <f>IF(D355="Car or van",SUMIFS($E$6:E355,$D$6:D355,"Car or van"),"")</f>
      </c>
      <c r="G355" s="18">
        <f>IF(E355="","",IF(D355="Car or van",(MIN(F355,MileageCarThreshold)-MIN(F355-E355,MileageCarThreshold))*MileageCarFirst+(MAX(F355-MileageCarThreshold,0)-MAX(F355-E355-MileageCarThreshold,0))*MileageCarAfter,IF(D355="Motorcycle",E355*MileageMotorcycle,IF(D355="Bicycle",E355*MileageBicycle,0))))</f>
      </c>
    </row>
    <row r="356" spans="1:7" x14ac:dyDescent="0.25">
      <c r="A356" s="7"/>
      <c r="B356" s="10"/>
      <c r="C356" s="10"/>
      <c r="D356" s="10"/>
      <c r="E356" s="14"/>
      <c r="F356" s="19">
        <f>IF(D356="Car or van",SUMIFS($E$6:E356,$D$6:D356,"Car or van"),"")</f>
      </c>
      <c r="G356" s="18">
        <f>IF(E356="","",IF(D356="Car or van",(MIN(F356,MileageCarThreshold)-MIN(F356-E356,MileageCarThreshold))*MileageCarFirst+(MAX(F356-MileageCarThreshold,0)-MAX(F356-E356-MileageCarThreshold,0))*MileageCarAfter,IF(D356="Motorcycle",E356*MileageMotorcycle,IF(D356="Bicycle",E356*MileageBicycle,0))))</f>
      </c>
    </row>
    <row r="357" spans="1:7" x14ac:dyDescent="0.25">
      <c r="A357" s="7"/>
      <c r="B357" s="10"/>
      <c r="C357" s="10"/>
      <c r="D357" s="10"/>
      <c r="E357" s="14"/>
      <c r="F357" s="19">
        <f>IF(D357="Car or van",SUMIFS($E$6:E357,$D$6:D357,"Car or van"),"")</f>
      </c>
      <c r="G357" s="18">
        <f>IF(E357="","",IF(D357="Car or van",(MIN(F357,MileageCarThreshold)-MIN(F357-E357,MileageCarThreshold))*MileageCarFirst+(MAX(F357-MileageCarThreshold,0)-MAX(F357-E357-MileageCarThreshold,0))*MileageCarAfter,IF(D357="Motorcycle",E357*MileageMotorcycle,IF(D357="Bicycle",E357*MileageBicycle,0))))</f>
      </c>
    </row>
    <row r="358" spans="1:7" x14ac:dyDescent="0.25">
      <c r="A358" s="7"/>
      <c r="B358" s="10"/>
      <c r="C358" s="10"/>
      <c r="D358" s="10"/>
      <c r="E358" s="14"/>
      <c r="F358" s="19">
        <f>IF(D358="Car or van",SUMIFS($E$6:E358,$D$6:D358,"Car or van"),"")</f>
      </c>
      <c r="G358" s="18">
        <f>IF(E358="","",IF(D358="Car or van",(MIN(F358,MileageCarThreshold)-MIN(F358-E358,MileageCarThreshold))*MileageCarFirst+(MAX(F358-MileageCarThreshold,0)-MAX(F358-E358-MileageCarThreshold,0))*MileageCarAfter,IF(D358="Motorcycle",E358*MileageMotorcycle,IF(D358="Bicycle",E358*MileageBicycle,0))))</f>
      </c>
    </row>
    <row r="359" spans="1:7" x14ac:dyDescent="0.25">
      <c r="A359" s="7"/>
      <c r="B359" s="10"/>
      <c r="C359" s="10"/>
      <c r="D359" s="10"/>
      <c r="E359" s="14"/>
      <c r="F359" s="19">
        <f>IF(D359="Car or van",SUMIFS($E$6:E359,$D$6:D359,"Car or van"),"")</f>
      </c>
      <c r="G359" s="18">
        <f>IF(E359="","",IF(D359="Car or van",(MIN(F359,MileageCarThreshold)-MIN(F359-E359,MileageCarThreshold))*MileageCarFirst+(MAX(F359-MileageCarThreshold,0)-MAX(F359-E359-MileageCarThreshold,0))*MileageCarAfter,IF(D359="Motorcycle",E359*MileageMotorcycle,IF(D359="Bicycle",E359*MileageBicycle,0))))</f>
      </c>
    </row>
    <row r="360" spans="1:7" x14ac:dyDescent="0.25">
      <c r="A360" s="7"/>
      <c r="B360" s="10"/>
      <c r="C360" s="10"/>
      <c r="D360" s="10"/>
      <c r="E360" s="14"/>
      <c r="F360" s="19">
        <f>IF(D360="Car or van",SUMIFS($E$6:E360,$D$6:D360,"Car or van"),"")</f>
      </c>
      <c r="G360" s="18">
        <f>IF(E360="","",IF(D360="Car or van",(MIN(F360,MileageCarThreshold)-MIN(F360-E360,MileageCarThreshold))*MileageCarFirst+(MAX(F360-MileageCarThreshold,0)-MAX(F360-E360-MileageCarThreshold,0))*MileageCarAfter,IF(D360="Motorcycle",E360*MileageMotorcycle,IF(D360="Bicycle",E360*MileageBicycle,0))))</f>
      </c>
    </row>
    <row r="361" spans="1:7" x14ac:dyDescent="0.25">
      <c r="A361" s="7"/>
      <c r="B361" s="10"/>
      <c r="C361" s="10"/>
      <c r="D361" s="10"/>
      <c r="E361" s="14"/>
      <c r="F361" s="19">
        <f>IF(D361="Car or van",SUMIFS($E$6:E361,$D$6:D361,"Car or van"),"")</f>
      </c>
      <c r="G361" s="18">
        <f>IF(E361="","",IF(D361="Car or van",(MIN(F361,MileageCarThreshold)-MIN(F361-E361,MileageCarThreshold))*MileageCarFirst+(MAX(F361-MileageCarThreshold,0)-MAX(F361-E361-MileageCarThreshold,0))*MileageCarAfter,IF(D361="Motorcycle",E361*MileageMotorcycle,IF(D361="Bicycle",E361*MileageBicycle,0))))</f>
      </c>
    </row>
    <row r="362" spans="1:7" x14ac:dyDescent="0.25">
      <c r="A362" s="7"/>
      <c r="B362" s="10"/>
      <c r="C362" s="10"/>
      <c r="D362" s="10"/>
      <c r="E362" s="14"/>
      <c r="F362" s="19">
        <f>IF(D362="Car or van",SUMIFS($E$6:E362,$D$6:D362,"Car or van"),"")</f>
      </c>
      <c r="G362" s="18">
        <f>IF(E362="","",IF(D362="Car or van",(MIN(F362,MileageCarThreshold)-MIN(F362-E362,MileageCarThreshold))*MileageCarFirst+(MAX(F362-MileageCarThreshold,0)-MAX(F362-E362-MileageCarThreshold,0))*MileageCarAfter,IF(D362="Motorcycle",E362*MileageMotorcycle,IF(D362="Bicycle",E362*MileageBicycle,0))))</f>
      </c>
    </row>
    <row r="363" spans="1:7" x14ac:dyDescent="0.25">
      <c r="A363" s="7"/>
      <c r="B363" s="10"/>
      <c r="C363" s="10"/>
      <c r="D363" s="10"/>
      <c r="E363" s="14"/>
      <c r="F363" s="19">
        <f>IF(D363="Car or van",SUMIFS($E$6:E363,$D$6:D363,"Car or van"),"")</f>
      </c>
      <c r="G363" s="18">
        <f>IF(E363="","",IF(D363="Car or van",(MIN(F363,MileageCarThreshold)-MIN(F363-E363,MileageCarThreshold))*MileageCarFirst+(MAX(F363-MileageCarThreshold,0)-MAX(F363-E363-MileageCarThreshold,0))*MileageCarAfter,IF(D363="Motorcycle",E363*MileageMotorcycle,IF(D363="Bicycle",E363*MileageBicycle,0))))</f>
      </c>
    </row>
    <row r="364" spans="1:7" x14ac:dyDescent="0.25">
      <c r="A364" s="7"/>
      <c r="B364" s="10"/>
      <c r="C364" s="10"/>
      <c r="D364" s="10"/>
      <c r="E364" s="14"/>
      <c r="F364" s="19">
        <f>IF(D364="Car or van",SUMIFS($E$6:E364,$D$6:D364,"Car or van"),"")</f>
      </c>
      <c r="G364" s="18">
        <f>IF(E364="","",IF(D364="Car or van",(MIN(F364,MileageCarThreshold)-MIN(F364-E364,MileageCarThreshold))*MileageCarFirst+(MAX(F364-MileageCarThreshold,0)-MAX(F364-E364-MileageCarThreshold,0))*MileageCarAfter,IF(D364="Motorcycle",E364*MileageMotorcycle,IF(D364="Bicycle",E364*MileageBicycle,0))))</f>
      </c>
    </row>
    <row r="365" spans="1:7" x14ac:dyDescent="0.25">
      <c r="A365" s="7"/>
      <c r="B365" s="10"/>
      <c r="C365" s="10"/>
      <c r="D365" s="10"/>
      <c r="E365" s="14"/>
      <c r="F365" s="19">
        <f>IF(D365="Car or van",SUMIFS($E$6:E365,$D$6:D365,"Car or van"),"")</f>
      </c>
      <c r="G365" s="18">
        <f>IF(E365="","",IF(D365="Car or van",(MIN(F365,MileageCarThreshold)-MIN(F365-E365,MileageCarThreshold))*MileageCarFirst+(MAX(F365-MileageCarThreshold,0)-MAX(F365-E365-MileageCarThreshold,0))*MileageCarAfter,IF(D365="Motorcycle",E365*MileageMotorcycle,IF(D365="Bicycle",E365*MileageBicycle,0))))</f>
      </c>
    </row>
    <row r="366" spans="1:7" x14ac:dyDescent="0.25">
      <c r="A366" s="7"/>
      <c r="B366" s="10"/>
      <c r="C366" s="10"/>
      <c r="D366" s="10"/>
      <c r="E366" s="14"/>
      <c r="F366" s="19">
        <f>IF(D366="Car or van",SUMIFS($E$6:E366,$D$6:D366,"Car or van"),"")</f>
      </c>
      <c r="G366" s="18">
        <f>IF(E366="","",IF(D366="Car or van",(MIN(F366,MileageCarThreshold)-MIN(F366-E366,MileageCarThreshold))*MileageCarFirst+(MAX(F366-MileageCarThreshold,0)-MAX(F366-E366-MileageCarThreshold,0))*MileageCarAfter,IF(D366="Motorcycle",E366*MileageMotorcycle,IF(D366="Bicycle",E366*MileageBicycle,0))))</f>
      </c>
    </row>
    <row r="367" spans="1:7" x14ac:dyDescent="0.25">
      <c r="A367" s="7"/>
      <c r="B367" s="10"/>
      <c r="C367" s="10"/>
      <c r="D367" s="10"/>
      <c r="E367" s="14"/>
      <c r="F367" s="19">
        <f>IF(D367="Car or van",SUMIFS($E$6:E367,$D$6:D367,"Car or van"),"")</f>
      </c>
      <c r="G367" s="18">
        <f>IF(E367="","",IF(D367="Car or van",(MIN(F367,MileageCarThreshold)-MIN(F367-E367,MileageCarThreshold))*MileageCarFirst+(MAX(F367-MileageCarThreshold,0)-MAX(F367-E367-MileageCarThreshold,0))*MileageCarAfter,IF(D367="Motorcycle",E367*MileageMotorcycle,IF(D367="Bicycle",E367*MileageBicycle,0))))</f>
      </c>
    </row>
    <row r="368" spans="1:7" x14ac:dyDescent="0.25">
      <c r="A368" s="7"/>
      <c r="B368" s="10"/>
      <c r="C368" s="10"/>
      <c r="D368" s="10"/>
      <c r="E368" s="14"/>
      <c r="F368" s="19">
        <f>IF(D368="Car or van",SUMIFS($E$6:E368,$D$6:D368,"Car or van"),"")</f>
      </c>
      <c r="G368" s="18">
        <f>IF(E368="","",IF(D368="Car or van",(MIN(F368,MileageCarThreshold)-MIN(F368-E368,MileageCarThreshold))*MileageCarFirst+(MAX(F368-MileageCarThreshold,0)-MAX(F368-E368-MileageCarThreshold,0))*MileageCarAfter,IF(D368="Motorcycle",E368*MileageMotorcycle,IF(D368="Bicycle",E368*MileageBicycle,0))))</f>
      </c>
    </row>
    <row r="369" spans="1:7" x14ac:dyDescent="0.25">
      <c r="A369" s="7"/>
      <c r="B369" s="10"/>
      <c r="C369" s="10"/>
      <c r="D369" s="10"/>
      <c r="E369" s="14"/>
      <c r="F369" s="19">
        <f>IF(D369="Car or van",SUMIFS($E$6:E369,$D$6:D369,"Car or van"),"")</f>
      </c>
      <c r="G369" s="18">
        <f>IF(E369="","",IF(D369="Car or van",(MIN(F369,MileageCarThreshold)-MIN(F369-E369,MileageCarThreshold))*MileageCarFirst+(MAX(F369-MileageCarThreshold,0)-MAX(F369-E369-MileageCarThreshold,0))*MileageCarAfter,IF(D369="Motorcycle",E369*MileageMotorcycle,IF(D369="Bicycle",E369*MileageBicycle,0))))</f>
      </c>
    </row>
    <row r="370" spans="1:7" x14ac:dyDescent="0.25">
      <c r="A370" s="7"/>
      <c r="B370" s="10"/>
      <c r="C370" s="10"/>
      <c r="D370" s="10"/>
      <c r="E370" s="14"/>
      <c r="F370" s="19">
        <f>IF(D370="Car or van",SUMIFS($E$6:E370,$D$6:D370,"Car or van"),"")</f>
      </c>
      <c r="G370" s="18">
        <f>IF(E370="","",IF(D370="Car or van",(MIN(F370,MileageCarThreshold)-MIN(F370-E370,MileageCarThreshold))*MileageCarFirst+(MAX(F370-MileageCarThreshold,0)-MAX(F370-E370-MileageCarThreshold,0))*MileageCarAfter,IF(D370="Motorcycle",E370*MileageMotorcycle,IF(D370="Bicycle",E370*MileageBicycle,0))))</f>
      </c>
    </row>
    <row r="371" spans="1:7" x14ac:dyDescent="0.25">
      <c r="A371" s="7"/>
      <c r="B371" s="10"/>
      <c r="C371" s="10"/>
      <c r="D371" s="10"/>
      <c r="E371" s="14"/>
      <c r="F371" s="19">
        <f>IF(D371="Car or van",SUMIFS($E$6:E371,$D$6:D371,"Car or van"),"")</f>
      </c>
      <c r="G371" s="18">
        <f>IF(E371="","",IF(D371="Car or van",(MIN(F371,MileageCarThreshold)-MIN(F371-E371,MileageCarThreshold))*MileageCarFirst+(MAX(F371-MileageCarThreshold,0)-MAX(F371-E371-MileageCarThreshold,0))*MileageCarAfter,IF(D371="Motorcycle",E371*MileageMotorcycle,IF(D371="Bicycle",E371*MileageBicycle,0))))</f>
      </c>
    </row>
    <row r="372" spans="1:7" x14ac:dyDescent="0.25">
      <c r="A372" s="7"/>
      <c r="B372" s="10"/>
      <c r="C372" s="10"/>
      <c r="D372" s="10"/>
      <c r="E372" s="14"/>
      <c r="F372" s="19">
        <f>IF(D372="Car or van",SUMIFS($E$6:E372,$D$6:D372,"Car or van"),"")</f>
      </c>
      <c r="G372" s="18">
        <f>IF(E372="","",IF(D372="Car or van",(MIN(F372,MileageCarThreshold)-MIN(F372-E372,MileageCarThreshold))*MileageCarFirst+(MAX(F372-MileageCarThreshold,0)-MAX(F372-E372-MileageCarThreshold,0))*MileageCarAfter,IF(D372="Motorcycle",E372*MileageMotorcycle,IF(D372="Bicycle",E372*MileageBicycle,0))))</f>
      </c>
    </row>
    <row r="373" spans="1:7" x14ac:dyDescent="0.25">
      <c r="A373" s="7"/>
      <c r="B373" s="10"/>
      <c r="C373" s="10"/>
      <c r="D373" s="10"/>
      <c r="E373" s="14"/>
      <c r="F373" s="19">
        <f>IF(D373="Car or van",SUMIFS($E$6:E373,$D$6:D373,"Car or van"),"")</f>
      </c>
      <c r="G373" s="18">
        <f>IF(E373="","",IF(D373="Car or van",(MIN(F373,MileageCarThreshold)-MIN(F373-E373,MileageCarThreshold))*MileageCarFirst+(MAX(F373-MileageCarThreshold,0)-MAX(F373-E373-MileageCarThreshold,0))*MileageCarAfter,IF(D373="Motorcycle",E373*MileageMotorcycle,IF(D373="Bicycle",E373*MileageBicycle,0))))</f>
      </c>
    </row>
    <row r="374" spans="1:7" x14ac:dyDescent="0.25">
      <c r="A374" s="7"/>
      <c r="B374" s="10"/>
      <c r="C374" s="10"/>
      <c r="D374" s="10"/>
      <c r="E374" s="14"/>
      <c r="F374" s="19">
        <f>IF(D374="Car or van",SUMIFS($E$6:E374,$D$6:D374,"Car or van"),"")</f>
      </c>
      <c r="G374" s="18">
        <f>IF(E374="","",IF(D374="Car or van",(MIN(F374,MileageCarThreshold)-MIN(F374-E374,MileageCarThreshold))*MileageCarFirst+(MAX(F374-MileageCarThreshold,0)-MAX(F374-E374-MileageCarThreshold,0))*MileageCarAfter,IF(D374="Motorcycle",E374*MileageMotorcycle,IF(D374="Bicycle",E374*MileageBicycle,0))))</f>
      </c>
    </row>
    <row r="375" spans="1:7" x14ac:dyDescent="0.25">
      <c r="A375" s="7"/>
      <c r="B375" s="10"/>
      <c r="C375" s="10"/>
      <c r="D375" s="10"/>
      <c r="E375" s="14"/>
      <c r="F375" s="19">
        <f>IF(D375="Car or van",SUMIFS($E$6:E375,$D$6:D375,"Car or van"),"")</f>
      </c>
      <c r="G375" s="18">
        <f>IF(E375="","",IF(D375="Car or van",(MIN(F375,MileageCarThreshold)-MIN(F375-E375,MileageCarThreshold))*MileageCarFirst+(MAX(F375-MileageCarThreshold,0)-MAX(F375-E375-MileageCarThreshold,0))*MileageCarAfter,IF(D375="Motorcycle",E375*MileageMotorcycle,IF(D375="Bicycle",E375*MileageBicycle,0))))</f>
      </c>
    </row>
    <row r="376" spans="1:7" x14ac:dyDescent="0.25">
      <c r="A376" s="7"/>
      <c r="B376" s="10"/>
      <c r="C376" s="10"/>
      <c r="D376" s="10"/>
      <c r="E376" s="14"/>
      <c r="F376" s="19">
        <f>IF(D376="Car or van",SUMIFS($E$6:E376,$D$6:D376,"Car or van"),"")</f>
      </c>
      <c r="G376" s="18">
        <f>IF(E376="","",IF(D376="Car or van",(MIN(F376,MileageCarThreshold)-MIN(F376-E376,MileageCarThreshold))*MileageCarFirst+(MAX(F376-MileageCarThreshold,0)-MAX(F376-E376-MileageCarThreshold,0))*MileageCarAfter,IF(D376="Motorcycle",E376*MileageMotorcycle,IF(D376="Bicycle",E376*MileageBicycle,0))))</f>
      </c>
    </row>
    <row r="377" spans="1:7" x14ac:dyDescent="0.25">
      <c r="A377" s="7"/>
      <c r="B377" s="10"/>
      <c r="C377" s="10"/>
      <c r="D377" s="10"/>
      <c r="E377" s="14"/>
      <c r="F377" s="19">
        <f>IF(D377="Car or van",SUMIFS($E$6:E377,$D$6:D377,"Car or van"),"")</f>
      </c>
      <c r="G377" s="18">
        <f>IF(E377="","",IF(D377="Car or van",(MIN(F377,MileageCarThreshold)-MIN(F377-E377,MileageCarThreshold))*MileageCarFirst+(MAX(F377-MileageCarThreshold,0)-MAX(F377-E377-MileageCarThreshold,0))*MileageCarAfter,IF(D377="Motorcycle",E377*MileageMotorcycle,IF(D377="Bicycle",E377*MileageBicycle,0))))</f>
      </c>
    </row>
    <row r="378" spans="1:7" x14ac:dyDescent="0.25">
      <c r="A378" s="7"/>
      <c r="B378" s="10"/>
      <c r="C378" s="10"/>
      <c r="D378" s="10"/>
      <c r="E378" s="14"/>
      <c r="F378" s="19">
        <f>IF(D378="Car or van",SUMIFS($E$6:E378,$D$6:D378,"Car or van"),"")</f>
      </c>
      <c r="G378" s="18">
        <f>IF(E378="","",IF(D378="Car or van",(MIN(F378,MileageCarThreshold)-MIN(F378-E378,MileageCarThreshold))*MileageCarFirst+(MAX(F378-MileageCarThreshold,0)-MAX(F378-E378-MileageCarThreshold,0))*MileageCarAfter,IF(D378="Motorcycle",E378*MileageMotorcycle,IF(D378="Bicycle",E378*MileageBicycle,0))))</f>
      </c>
    </row>
    <row r="379" spans="1:7" x14ac:dyDescent="0.25">
      <c r="A379" s="7"/>
      <c r="B379" s="10"/>
      <c r="C379" s="10"/>
      <c r="D379" s="10"/>
      <c r="E379" s="14"/>
      <c r="F379" s="19">
        <f>IF(D379="Car or van",SUMIFS($E$6:E379,$D$6:D379,"Car or van"),"")</f>
      </c>
      <c r="G379" s="18">
        <f>IF(E379="","",IF(D379="Car or van",(MIN(F379,MileageCarThreshold)-MIN(F379-E379,MileageCarThreshold))*MileageCarFirst+(MAX(F379-MileageCarThreshold,0)-MAX(F379-E379-MileageCarThreshold,0))*MileageCarAfter,IF(D379="Motorcycle",E379*MileageMotorcycle,IF(D379="Bicycle",E379*MileageBicycle,0))))</f>
      </c>
    </row>
    <row r="380" spans="1:7" x14ac:dyDescent="0.25">
      <c r="A380" s="7"/>
      <c r="B380" s="10"/>
      <c r="C380" s="10"/>
      <c r="D380" s="10"/>
      <c r="E380" s="14"/>
      <c r="F380" s="19">
        <f>IF(D380="Car or van",SUMIFS($E$6:E380,$D$6:D380,"Car or van"),"")</f>
      </c>
      <c r="G380" s="18">
        <f>IF(E380="","",IF(D380="Car or van",(MIN(F380,MileageCarThreshold)-MIN(F380-E380,MileageCarThreshold))*MileageCarFirst+(MAX(F380-MileageCarThreshold,0)-MAX(F380-E380-MileageCarThreshold,0))*MileageCarAfter,IF(D380="Motorcycle",E380*MileageMotorcycle,IF(D380="Bicycle",E380*MileageBicycle,0))))</f>
      </c>
    </row>
    <row r="381" spans="1:7" x14ac:dyDescent="0.25">
      <c r="A381" s="7"/>
      <c r="B381" s="10"/>
      <c r="C381" s="10"/>
      <c r="D381" s="10"/>
      <c r="E381" s="14"/>
      <c r="F381" s="19">
        <f>IF(D381="Car or van",SUMIFS($E$6:E381,$D$6:D381,"Car or van"),"")</f>
      </c>
      <c r="G381" s="18">
        <f>IF(E381="","",IF(D381="Car or van",(MIN(F381,MileageCarThreshold)-MIN(F381-E381,MileageCarThreshold))*MileageCarFirst+(MAX(F381-MileageCarThreshold,0)-MAX(F381-E381-MileageCarThreshold,0))*MileageCarAfter,IF(D381="Motorcycle",E381*MileageMotorcycle,IF(D381="Bicycle",E381*MileageBicycle,0))))</f>
      </c>
    </row>
    <row r="382" spans="1:7" x14ac:dyDescent="0.25">
      <c r="A382" s="7"/>
      <c r="B382" s="10"/>
      <c r="C382" s="10"/>
      <c r="D382" s="10"/>
      <c r="E382" s="14"/>
      <c r="F382" s="19">
        <f>IF(D382="Car or van",SUMIFS($E$6:E382,$D$6:D382,"Car or van"),"")</f>
      </c>
      <c r="G382" s="18">
        <f>IF(E382="","",IF(D382="Car or van",(MIN(F382,MileageCarThreshold)-MIN(F382-E382,MileageCarThreshold))*MileageCarFirst+(MAX(F382-MileageCarThreshold,0)-MAX(F382-E382-MileageCarThreshold,0))*MileageCarAfter,IF(D382="Motorcycle",E382*MileageMotorcycle,IF(D382="Bicycle",E382*MileageBicycle,0))))</f>
      </c>
    </row>
    <row r="383" spans="1:7" x14ac:dyDescent="0.25">
      <c r="A383" s="7"/>
      <c r="B383" s="10"/>
      <c r="C383" s="10"/>
      <c r="D383" s="10"/>
      <c r="E383" s="14"/>
      <c r="F383" s="19">
        <f>IF(D383="Car or van",SUMIFS($E$6:E383,$D$6:D383,"Car or van"),"")</f>
      </c>
      <c r="G383" s="18">
        <f>IF(E383="","",IF(D383="Car or van",(MIN(F383,MileageCarThreshold)-MIN(F383-E383,MileageCarThreshold))*MileageCarFirst+(MAX(F383-MileageCarThreshold,0)-MAX(F383-E383-MileageCarThreshold,0))*MileageCarAfter,IF(D383="Motorcycle",E383*MileageMotorcycle,IF(D383="Bicycle",E383*MileageBicycle,0))))</f>
      </c>
    </row>
    <row r="384" spans="1:7" x14ac:dyDescent="0.25">
      <c r="A384" s="7"/>
      <c r="B384" s="10"/>
      <c r="C384" s="10"/>
      <c r="D384" s="10"/>
      <c r="E384" s="14"/>
      <c r="F384" s="19">
        <f>IF(D384="Car or van",SUMIFS($E$6:E384,$D$6:D384,"Car or van"),"")</f>
      </c>
      <c r="G384" s="18">
        <f>IF(E384="","",IF(D384="Car or van",(MIN(F384,MileageCarThreshold)-MIN(F384-E384,MileageCarThreshold))*MileageCarFirst+(MAX(F384-MileageCarThreshold,0)-MAX(F384-E384-MileageCarThreshold,0))*MileageCarAfter,IF(D384="Motorcycle",E384*MileageMotorcycle,IF(D384="Bicycle",E384*MileageBicycle,0))))</f>
      </c>
    </row>
    <row r="385" spans="1:7" x14ac:dyDescent="0.25">
      <c r="A385" s="7"/>
      <c r="B385" s="10"/>
      <c r="C385" s="10"/>
      <c r="D385" s="10"/>
      <c r="E385" s="14"/>
      <c r="F385" s="19">
        <f>IF(D385="Car or van",SUMIFS($E$6:E385,$D$6:D385,"Car or van"),"")</f>
      </c>
      <c r="G385" s="18">
        <f>IF(E385="","",IF(D385="Car or van",(MIN(F385,MileageCarThreshold)-MIN(F385-E385,MileageCarThreshold))*MileageCarFirst+(MAX(F385-MileageCarThreshold,0)-MAX(F385-E385-MileageCarThreshold,0))*MileageCarAfter,IF(D385="Motorcycle",E385*MileageMotorcycle,IF(D385="Bicycle",E385*MileageBicycle,0))))</f>
      </c>
    </row>
    <row r="386" spans="1:7" x14ac:dyDescent="0.25">
      <c r="A386" s="7"/>
      <c r="B386" s="10"/>
      <c r="C386" s="10"/>
      <c r="D386" s="10"/>
      <c r="E386" s="14"/>
      <c r="F386" s="19">
        <f>IF(D386="Car or van",SUMIFS($E$6:E386,$D$6:D386,"Car or van"),"")</f>
      </c>
      <c r="G386" s="18">
        <f>IF(E386="","",IF(D386="Car or van",(MIN(F386,MileageCarThreshold)-MIN(F386-E386,MileageCarThreshold))*MileageCarFirst+(MAX(F386-MileageCarThreshold,0)-MAX(F386-E386-MileageCarThreshold,0))*MileageCarAfter,IF(D386="Motorcycle",E386*MileageMotorcycle,IF(D386="Bicycle",E386*MileageBicycle,0))))</f>
      </c>
    </row>
    <row r="387" spans="1:7" x14ac:dyDescent="0.25">
      <c r="A387" s="7"/>
      <c r="B387" s="10"/>
      <c r="C387" s="10"/>
      <c r="D387" s="10"/>
      <c r="E387" s="14"/>
      <c r="F387" s="19">
        <f>IF(D387="Car or van",SUMIFS($E$6:E387,$D$6:D387,"Car or van"),"")</f>
      </c>
      <c r="G387" s="18">
        <f>IF(E387="","",IF(D387="Car or van",(MIN(F387,MileageCarThreshold)-MIN(F387-E387,MileageCarThreshold))*MileageCarFirst+(MAX(F387-MileageCarThreshold,0)-MAX(F387-E387-MileageCarThreshold,0))*MileageCarAfter,IF(D387="Motorcycle",E387*MileageMotorcycle,IF(D387="Bicycle",E387*MileageBicycle,0))))</f>
      </c>
    </row>
    <row r="388" spans="1:7" x14ac:dyDescent="0.25">
      <c r="A388" s="7"/>
      <c r="B388" s="10"/>
      <c r="C388" s="10"/>
      <c r="D388" s="10"/>
      <c r="E388" s="14"/>
      <c r="F388" s="19">
        <f>IF(D388="Car or van",SUMIFS($E$6:E388,$D$6:D388,"Car or van"),"")</f>
      </c>
      <c r="G388" s="18">
        <f>IF(E388="","",IF(D388="Car or van",(MIN(F388,MileageCarThreshold)-MIN(F388-E388,MileageCarThreshold))*MileageCarFirst+(MAX(F388-MileageCarThreshold,0)-MAX(F388-E388-MileageCarThreshold,0))*MileageCarAfter,IF(D388="Motorcycle",E388*MileageMotorcycle,IF(D388="Bicycle",E388*MileageBicycle,0))))</f>
      </c>
    </row>
    <row r="389" spans="1:7" x14ac:dyDescent="0.25">
      <c r="A389" s="7"/>
      <c r="B389" s="10"/>
      <c r="C389" s="10"/>
      <c r="D389" s="10"/>
      <c r="E389" s="14"/>
      <c r="F389" s="19">
        <f>IF(D389="Car or van",SUMIFS($E$6:E389,$D$6:D389,"Car or van"),"")</f>
      </c>
      <c r="G389" s="18">
        <f>IF(E389="","",IF(D389="Car or van",(MIN(F389,MileageCarThreshold)-MIN(F389-E389,MileageCarThreshold))*MileageCarFirst+(MAX(F389-MileageCarThreshold,0)-MAX(F389-E389-MileageCarThreshold,0))*MileageCarAfter,IF(D389="Motorcycle",E389*MileageMotorcycle,IF(D389="Bicycle",E389*MileageBicycle,0))))</f>
      </c>
    </row>
    <row r="390" spans="1:7" x14ac:dyDescent="0.25">
      <c r="A390" s="7"/>
      <c r="B390" s="10"/>
      <c r="C390" s="10"/>
      <c r="D390" s="10"/>
      <c r="E390" s="14"/>
      <c r="F390" s="19">
        <f>IF(D390="Car or van",SUMIFS($E$6:E390,$D$6:D390,"Car or van"),"")</f>
      </c>
      <c r="G390" s="18">
        <f>IF(E390="","",IF(D390="Car or van",(MIN(F390,MileageCarThreshold)-MIN(F390-E390,MileageCarThreshold))*MileageCarFirst+(MAX(F390-MileageCarThreshold,0)-MAX(F390-E390-MileageCarThreshold,0))*MileageCarAfter,IF(D390="Motorcycle",E390*MileageMotorcycle,IF(D390="Bicycle",E390*MileageBicycle,0))))</f>
      </c>
    </row>
    <row r="391" spans="1:7" x14ac:dyDescent="0.25">
      <c r="A391" s="7"/>
      <c r="B391" s="10"/>
      <c r="C391" s="10"/>
      <c r="D391" s="10"/>
      <c r="E391" s="14"/>
      <c r="F391" s="19">
        <f>IF(D391="Car or van",SUMIFS($E$6:E391,$D$6:D391,"Car or van"),"")</f>
      </c>
      <c r="G391" s="18">
        <f>IF(E391="","",IF(D391="Car or van",(MIN(F391,MileageCarThreshold)-MIN(F391-E391,MileageCarThreshold))*MileageCarFirst+(MAX(F391-MileageCarThreshold,0)-MAX(F391-E391-MileageCarThreshold,0))*MileageCarAfter,IF(D391="Motorcycle",E391*MileageMotorcycle,IF(D391="Bicycle",E391*MileageBicycle,0))))</f>
      </c>
    </row>
    <row r="392" spans="1:7" x14ac:dyDescent="0.25">
      <c r="A392" s="7"/>
      <c r="B392" s="10"/>
      <c r="C392" s="10"/>
      <c r="D392" s="10"/>
      <c r="E392" s="14"/>
      <c r="F392" s="19">
        <f>IF(D392="Car or van",SUMIFS($E$6:E392,$D$6:D392,"Car or van"),"")</f>
      </c>
      <c r="G392" s="18">
        <f>IF(E392="","",IF(D392="Car or van",(MIN(F392,MileageCarThreshold)-MIN(F392-E392,MileageCarThreshold))*MileageCarFirst+(MAX(F392-MileageCarThreshold,0)-MAX(F392-E392-MileageCarThreshold,0))*MileageCarAfter,IF(D392="Motorcycle",E392*MileageMotorcycle,IF(D392="Bicycle",E392*MileageBicycle,0))))</f>
      </c>
    </row>
    <row r="393" spans="1:7" x14ac:dyDescent="0.25">
      <c r="A393" s="7"/>
      <c r="B393" s="10"/>
      <c r="C393" s="10"/>
      <c r="D393" s="10"/>
      <c r="E393" s="14"/>
      <c r="F393" s="19">
        <f>IF(D393="Car or van",SUMIFS($E$6:E393,$D$6:D393,"Car or van"),"")</f>
      </c>
      <c r="G393" s="18">
        <f>IF(E393="","",IF(D393="Car or van",(MIN(F393,MileageCarThreshold)-MIN(F393-E393,MileageCarThreshold))*MileageCarFirst+(MAX(F393-MileageCarThreshold,0)-MAX(F393-E393-MileageCarThreshold,0))*MileageCarAfter,IF(D393="Motorcycle",E393*MileageMotorcycle,IF(D393="Bicycle",E393*MileageBicycle,0))))</f>
      </c>
    </row>
    <row r="394" spans="1:7" x14ac:dyDescent="0.25">
      <c r="A394" s="7"/>
      <c r="B394" s="10"/>
      <c r="C394" s="10"/>
      <c r="D394" s="10"/>
      <c r="E394" s="14"/>
      <c r="F394" s="19">
        <f>IF(D394="Car or van",SUMIFS($E$6:E394,$D$6:D394,"Car or van"),"")</f>
      </c>
      <c r="G394" s="18">
        <f>IF(E394="","",IF(D394="Car or van",(MIN(F394,MileageCarThreshold)-MIN(F394-E394,MileageCarThreshold))*MileageCarFirst+(MAX(F394-MileageCarThreshold,0)-MAX(F394-E394-MileageCarThreshold,0))*MileageCarAfter,IF(D394="Motorcycle",E394*MileageMotorcycle,IF(D394="Bicycle",E394*MileageBicycle,0))))</f>
      </c>
    </row>
    <row r="395" spans="1:7" x14ac:dyDescent="0.25">
      <c r="A395" s="7"/>
      <c r="B395" s="10"/>
      <c r="C395" s="10"/>
      <c r="D395" s="10"/>
      <c r="E395" s="14"/>
      <c r="F395" s="19">
        <f>IF(D395="Car or van",SUMIFS($E$6:E395,$D$6:D395,"Car or van"),"")</f>
      </c>
      <c r="G395" s="18">
        <f>IF(E395="","",IF(D395="Car or van",(MIN(F395,MileageCarThreshold)-MIN(F395-E395,MileageCarThreshold))*MileageCarFirst+(MAX(F395-MileageCarThreshold,0)-MAX(F395-E395-MileageCarThreshold,0))*MileageCarAfter,IF(D395="Motorcycle",E395*MileageMotorcycle,IF(D395="Bicycle",E395*MileageBicycle,0))))</f>
      </c>
    </row>
    <row r="396" spans="1:7" x14ac:dyDescent="0.25">
      <c r="A396" s="7"/>
      <c r="B396" s="10"/>
      <c r="C396" s="10"/>
      <c r="D396" s="10"/>
      <c r="E396" s="14"/>
      <c r="F396" s="19">
        <f>IF(D396="Car or van",SUMIFS($E$6:E396,$D$6:D396,"Car or van"),"")</f>
      </c>
      <c r="G396" s="18">
        <f>IF(E396="","",IF(D396="Car or van",(MIN(F396,MileageCarThreshold)-MIN(F396-E396,MileageCarThreshold))*MileageCarFirst+(MAX(F396-MileageCarThreshold,0)-MAX(F396-E396-MileageCarThreshold,0))*MileageCarAfter,IF(D396="Motorcycle",E396*MileageMotorcycle,IF(D396="Bicycle",E396*MileageBicycle,0))))</f>
      </c>
    </row>
    <row r="397" spans="1:7" x14ac:dyDescent="0.25">
      <c r="A397" s="7"/>
      <c r="B397" s="10"/>
      <c r="C397" s="10"/>
      <c r="D397" s="10"/>
      <c r="E397" s="14"/>
      <c r="F397" s="19">
        <f>IF(D397="Car or van",SUMIFS($E$6:E397,$D$6:D397,"Car or van"),"")</f>
      </c>
      <c r="G397" s="18">
        <f>IF(E397="","",IF(D397="Car or van",(MIN(F397,MileageCarThreshold)-MIN(F397-E397,MileageCarThreshold))*MileageCarFirst+(MAX(F397-MileageCarThreshold,0)-MAX(F397-E397-MileageCarThreshold,0))*MileageCarAfter,IF(D397="Motorcycle",E397*MileageMotorcycle,IF(D397="Bicycle",E397*MileageBicycle,0))))</f>
      </c>
    </row>
    <row r="398" spans="1:7" x14ac:dyDescent="0.25">
      <c r="A398" s="7"/>
      <c r="B398" s="10"/>
      <c r="C398" s="10"/>
      <c r="D398" s="10"/>
      <c r="E398" s="14"/>
      <c r="F398" s="19">
        <f>IF(D398="Car or van",SUMIFS($E$6:E398,$D$6:D398,"Car or van"),"")</f>
      </c>
      <c r="G398" s="18">
        <f>IF(E398="","",IF(D398="Car or van",(MIN(F398,MileageCarThreshold)-MIN(F398-E398,MileageCarThreshold))*MileageCarFirst+(MAX(F398-MileageCarThreshold,0)-MAX(F398-E398-MileageCarThreshold,0))*MileageCarAfter,IF(D398="Motorcycle",E398*MileageMotorcycle,IF(D398="Bicycle",E398*MileageBicycle,0))))</f>
      </c>
    </row>
    <row r="399" spans="1:7" x14ac:dyDescent="0.25">
      <c r="A399" s="7"/>
      <c r="B399" s="10"/>
      <c r="C399" s="10"/>
      <c r="D399" s="10"/>
      <c r="E399" s="14"/>
      <c r="F399" s="19">
        <f>IF(D399="Car or van",SUMIFS($E$6:E399,$D$6:D399,"Car or van"),"")</f>
      </c>
      <c r="G399" s="18">
        <f>IF(E399="","",IF(D399="Car or van",(MIN(F399,MileageCarThreshold)-MIN(F399-E399,MileageCarThreshold))*MileageCarFirst+(MAX(F399-MileageCarThreshold,0)-MAX(F399-E399-MileageCarThreshold,0))*MileageCarAfter,IF(D399="Motorcycle",E399*MileageMotorcycle,IF(D399="Bicycle",E399*MileageBicycle,0))))</f>
      </c>
    </row>
    <row r="400" spans="1:7" x14ac:dyDescent="0.25">
      <c r="A400" s="7"/>
      <c r="B400" s="10"/>
      <c r="C400" s="10"/>
      <c r="D400" s="10"/>
      <c r="E400" s="14"/>
      <c r="F400" s="19">
        <f>IF(D400="Car or van",SUMIFS($E$6:E400,$D$6:D400,"Car or van"),"")</f>
      </c>
      <c r="G400" s="18">
        <f>IF(E400="","",IF(D400="Car or van",(MIN(F400,MileageCarThreshold)-MIN(F400-E400,MileageCarThreshold))*MileageCarFirst+(MAX(F400-MileageCarThreshold,0)-MAX(F400-E400-MileageCarThreshold,0))*MileageCarAfter,IF(D400="Motorcycle",E400*MileageMotorcycle,IF(D400="Bicycle",E400*MileageBicycle,0))))</f>
      </c>
    </row>
    <row r="401" spans="1:7" x14ac:dyDescent="0.25">
      <c r="A401" s="7"/>
      <c r="B401" s="10"/>
      <c r="C401" s="10"/>
      <c r="D401" s="10"/>
      <c r="E401" s="14"/>
      <c r="F401" s="19">
        <f>IF(D401="Car or van",SUMIFS($E$6:E401,$D$6:D401,"Car or van"),"")</f>
      </c>
      <c r="G401" s="18">
        <f>IF(E401="","",IF(D401="Car or van",(MIN(F401,MileageCarThreshold)-MIN(F401-E401,MileageCarThreshold))*MileageCarFirst+(MAX(F401-MileageCarThreshold,0)-MAX(F401-E401-MileageCarThreshold,0))*MileageCarAfter,IF(D401="Motorcycle",E401*MileageMotorcycle,IF(D401="Bicycle",E401*MileageBicycle,0))))</f>
      </c>
    </row>
    <row r="402" spans="1:7" x14ac:dyDescent="0.25">
      <c r="A402" s="7"/>
      <c r="B402" s="10"/>
      <c r="C402" s="10"/>
      <c r="D402" s="10"/>
      <c r="E402" s="14"/>
      <c r="F402" s="19">
        <f>IF(D402="Car or van",SUMIFS($E$6:E402,$D$6:D402,"Car or van"),"")</f>
      </c>
      <c r="G402" s="18">
        <f>IF(E402="","",IF(D402="Car or van",(MIN(F402,MileageCarThreshold)-MIN(F402-E402,MileageCarThreshold))*MileageCarFirst+(MAX(F402-MileageCarThreshold,0)-MAX(F402-E402-MileageCarThreshold,0))*MileageCarAfter,IF(D402="Motorcycle",E402*MileageMotorcycle,IF(D402="Bicycle",E402*MileageBicycle,0))))</f>
      </c>
    </row>
    <row r="403" spans="1:7" x14ac:dyDescent="0.25">
      <c r="A403" s="7"/>
      <c r="B403" s="10"/>
      <c r="C403" s="10"/>
      <c r="D403" s="10"/>
      <c r="E403" s="14"/>
      <c r="F403" s="19">
        <f>IF(D403="Car or van",SUMIFS($E$6:E403,$D$6:D403,"Car or van"),"")</f>
      </c>
      <c r="G403" s="18">
        <f>IF(E403="","",IF(D403="Car or van",(MIN(F403,MileageCarThreshold)-MIN(F403-E403,MileageCarThreshold))*MileageCarFirst+(MAX(F403-MileageCarThreshold,0)-MAX(F403-E403-MileageCarThreshold,0))*MileageCarAfter,IF(D403="Motorcycle",E403*MileageMotorcycle,IF(D403="Bicycle",E403*MileageBicycle,0))))</f>
      </c>
    </row>
    <row r="404" spans="1:7" x14ac:dyDescent="0.25">
      <c r="A404" s="7"/>
      <c r="B404" s="10"/>
      <c r="C404" s="10"/>
      <c r="D404" s="10"/>
      <c r="E404" s="14"/>
      <c r="F404" s="19">
        <f>IF(D404="Car or van",SUMIFS($E$6:E404,$D$6:D404,"Car or van"),"")</f>
      </c>
      <c r="G404" s="18">
        <f>IF(E404="","",IF(D404="Car or van",(MIN(F404,MileageCarThreshold)-MIN(F404-E404,MileageCarThreshold))*MileageCarFirst+(MAX(F404-MileageCarThreshold,0)-MAX(F404-E404-MileageCarThreshold,0))*MileageCarAfter,IF(D404="Motorcycle",E404*MileageMotorcycle,IF(D404="Bicycle",E404*MileageBicycle,0))))</f>
      </c>
    </row>
    <row r="405" spans="1:7" x14ac:dyDescent="0.25">
      <c r="A405" s="7"/>
      <c r="B405" s="10"/>
      <c r="C405" s="10"/>
      <c r="D405" s="10"/>
      <c r="E405" s="14"/>
      <c r="F405" s="19">
        <f>IF(D405="Car or van",SUMIFS($E$6:E405,$D$6:D405,"Car or van"),"")</f>
      </c>
      <c r="G405" s="18">
        <f>IF(E405="","",IF(D405="Car or van",(MIN(F405,MileageCarThreshold)-MIN(F405-E405,MileageCarThreshold))*MileageCarFirst+(MAX(F405-MileageCarThreshold,0)-MAX(F405-E405-MileageCarThreshold,0))*MileageCarAfter,IF(D405="Motorcycle",E405*MileageMotorcycle,IF(D405="Bicycle",E405*MileageBicycle,0))))</f>
      </c>
    </row>
    <row r="406" spans="1:7" x14ac:dyDescent="0.25">
      <c r="A406" s="7"/>
      <c r="B406" s="10"/>
      <c r="C406" s="10"/>
      <c r="D406" s="10"/>
      <c r="E406" s="14"/>
      <c r="F406" s="19">
        <f>IF(D406="Car or van",SUMIFS($E$6:E406,$D$6:D406,"Car or van"),"")</f>
      </c>
      <c r="G406" s="18">
        <f>IF(E406="","",IF(D406="Car or van",(MIN(F406,MileageCarThreshold)-MIN(F406-E406,MileageCarThreshold))*MileageCarFirst+(MAX(F406-MileageCarThreshold,0)-MAX(F406-E406-MileageCarThreshold,0))*MileageCarAfter,IF(D406="Motorcycle",E406*MileageMotorcycle,IF(D406="Bicycle",E406*MileageBicycle,0))))</f>
      </c>
    </row>
    <row r="407" spans="1:7" x14ac:dyDescent="0.25">
      <c r="A407" s="7"/>
      <c r="B407" s="10"/>
      <c r="C407" s="10"/>
      <c r="D407" s="10"/>
      <c r="E407" s="14"/>
      <c r="F407" s="19">
        <f>IF(D407="Car or van",SUMIFS($E$6:E407,$D$6:D407,"Car or van"),"")</f>
      </c>
      <c r="G407" s="18">
        <f>IF(E407="","",IF(D407="Car or van",(MIN(F407,MileageCarThreshold)-MIN(F407-E407,MileageCarThreshold))*MileageCarFirst+(MAX(F407-MileageCarThreshold,0)-MAX(F407-E407-MileageCarThreshold,0))*MileageCarAfter,IF(D407="Motorcycle",E407*MileageMotorcycle,IF(D407="Bicycle",E407*MileageBicycle,0))))</f>
      </c>
    </row>
    <row r="408" spans="1:7" x14ac:dyDescent="0.25">
      <c r="A408" s="7"/>
      <c r="B408" s="10"/>
      <c r="C408" s="10"/>
      <c r="D408" s="10"/>
      <c r="E408" s="14"/>
      <c r="F408" s="19">
        <f>IF(D408="Car or van",SUMIFS($E$6:E408,$D$6:D408,"Car or van"),"")</f>
      </c>
      <c r="G408" s="18">
        <f>IF(E408="","",IF(D408="Car or van",(MIN(F408,MileageCarThreshold)-MIN(F408-E408,MileageCarThreshold))*MileageCarFirst+(MAX(F408-MileageCarThreshold,0)-MAX(F408-E408-MileageCarThreshold,0))*MileageCarAfter,IF(D408="Motorcycle",E408*MileageMotorcycle,IF(D408="Bicycle",E408*MileageBicycle,0))))</f>
      </c>
    </row>
    <row r="409" spans="1:7" x14ac:dyDescent="0.25">
      <c r="A409" s="7"/>
      <c r="B409" s="10"/>
      <c r="C409" s="10"/>
      <c r="D409" s="10"/>
      <c r="E409" s="14"/>
      <c r="F409" s="19">
        <f>IF(D409="Car or van",SUMIFS($E$6:E409,$D$6:D409,"Car or van"),"")</f>
      </c>
      <c r="G409" s="18">
        <f>IF(E409="","",IF(D409="Car or van",(MIN(F409,MileageCarThreshold)-MIN(F409-E409,MileageCarThreshold))*MileageCarFirst+(MAX(F409-MileageCarThreshold,0)-MAX(F409-E409-MileageCarThreshold,0))*MileageCarAfter,IF(D409="Motorcycle",E409*MileageMotorcycle,IF(D409="Bicycle",E409*MileageBicycle,0))))</f>
      </c>
    </row>
    <row r="410" spans="1:7" x14ac:dyDescent="0.25">
      <c r="A410" s="7"/>
      <c r="B410" s="10"/>
      <c r="C410" s="10"/>
      <c r="D410" s="10"/>
      <c r="E410" s="14"/>
      <c r="F410" s="19">
        <f>IF(D410="Car or van",SUMIFS($E$6:E410,$D$6:D410,"Car or van"),"")</f>
      </c>
      <c r="G410" s="18">
        <f>IF(E410="","",IF(D410="Car or van",(MIN(F410,MileageCarThreshold)-MIN(F410-E410,MileageCarThreshold))*MileageCarFirst+(MAX(F410-MileageCarThreshold,0)-MAX(F410-E410-MileageCarThreshold,0))*MileageCarAfter,IF(D410="Motorcycle",E410*MileageMotorcycle,IF(D410="Bicycle",E410*MileageBicycle,0))))</f>
      </c>
    </row>
    <row r="411" spans="1:7" x14ac:dyDescent="0.25">
      <c r="A411" s="7"/>
      <c r="B411" s="10"/>
      <c r="C411" s="10"/>
      <c r="D411" s="10"/>
      <c r="E411" s="14"/>
      <c r="F411" s="19">
        <f>IF(D411="Car or van",SUMIFS($E$6:E411,$D$6:D411,"Car or van"),"")</f>
      </c>
      <c r="G411" s="18">
        <f>IF(E411="","",IF(D411="Car or van",(MIN(F411,MileageCarThreshold)-MIN(F411-E411,MileageCarThreshold))*MileageCarFirst+(MAX(F411-MileageCarThreshold,0)-MAX(F411-E411-MileageCarThreshold,0))*MileageCarAfter,IF(D411="Motorcycle",E411*MileageMotorcycle,IF(D411="Bicycle",E411*MileageBicycle,0))))</f>
      </c>
    </row>
    <row r="412" spans="1:7" x14ac:dyDescent="0.25">
      <c r="A412" s="7"/>
      <c r="B412" s="10"/>
      <c r="C412" s="10"/>
      <c r="D412" s="10"/>
      <c r="E412" s="14"/>
      <c r="F412" s="19">
        <f>IF(D412="Car or van",SUMIFS($E$6:E412,$D$6:D412,"Car or van"),"")</f>
      </c>
      <c r="G412" s="18">
        <f>IF(E412="","",IF(D412="Car or van",(MIN(F412,MileageCarThreshold)-MIN(F412-E412,MileageCarThreshold))*MileageCarFirst+(MAX(F412-MileageCarThreshold,0)-MAX(F412-E412-MileageCarThreshold,0))*MileageCarAfter,IF(D412="Motorcycle",E412*MileageMotorcycle,IF(D412="Bicycle",E412*MileageBicycle,0))))</f>
      </c>
    </row>
    <row r="413" spans="1:7" x14ac:dyDescent="0.25">
      <c r="A413" s="7"/>
      <c r="B413" s="10"/>
      <c r="C413" s="10"/>
      <c r="D413" s="10"/>
      <c r="E413" s="14"/>
      <c r="F413" s="19">
        <f>IF(D413="Car or van",SUMIFS($E$6:E413,$D$6:D413,"Car or van"),"")</f>
      </c>
      <c r="G413" s="18">
        <f>IF(E413="","",IF(D413="Car or van",(MIN(F413,MileageCarThreshold)-MIN(F413-E413,MileageCarThreshold))*MileageCarFirst+(MAX(F413-MileageCarThreshold,0)-MAX(F413-E413-MileageCarThreshold,0))*MileageCarAfter,IF(D413="Motorcycle",E413*MileageMotorcycle,IF(D413="Bicycle",E413*MileageBicycle,0))))</f>
      </c>
    </row>
    <row r="414" spans="1:7" x14ac:dyDescent="0.25">
      <c r="A414" s="7"/>
      <c r="B414" s="10"/>
      <c r="C414" s="10"/>
      <c r="D414" s="10"/>
      <c r="E414" s="14"/>
      <c r="F414" s="19">
        <f>IF(D414="Car or van",SUMIFS($E$6:E414,$D$6:D414,"Car or van"),"")</f>
      </c>
      <c r="G414" s="18">
        <f>IF(E414="","",IF(D414="Car or van",(MIN(F414,MileageCarThreshold)-MIN(F414-E414,MileageCarThreshold))*MileageCarFirst+(MAX(F414-MileageCarThreshold,0)-MAX(F414-E414-MileageCarThreshold,0))*MileageCarAfter,IF(D414="Motorcycle",E414*MileageMotorcycle,IF(D414="Bicycle",E414*MileageBicycle,0))))</f>
      </c>
    </row>
    <row r="415" spans="1:7" x14ac:dyDescent="0.25">
      <c r="A415" s="7"/>
      <c r="B415" s="10"/>
      <c r="C415" s="10"/>
      <c r="D415" s="10"/>
      <c r="E415" s="14"/>
      <c r="F415" s="19">
        <f>IF(D415="Car or van",SUMIFS($E$6:E415,$D$6:D415,"Car or van"),"")</f>
      </c>
      <c r="G415" s="18">
        <f>IF(E415="","",IF(D415="Car or van",(MIN(F415,MileageCarThreshold)-MIN(F415-E415,MileageCarThreshold))*MileageCarFirst+(MAX(F415-MileageCarThreshold,0)-MAX(F415-E415-MileageCarThreshold,0))*MileageCarAfter,IF(D415="Motorcycle",E415*MileageMotorcycle,IF(D415="Bicycle",E415*MileageBicycle,0))))</f>
      </c>
    </row>
    <row r="416" spans="1:7" x14ac:dyDescent="0.25">
      <c r="A416" s="7"/>
      <c r="B416" s="10"/>
      <c r="C416" s="10"/>
      <c r="D416" s="10"/>
      <c r="E416" s="14"/>
      <c r="F416" s="19">
        <f>IF(D416="Car or van",SUMIFS($E$6:E416,$D$6:D416,"Car or van"),"")</f>
      </c>
      <c r="G416" s="18">
        <f>IF(E416="","",IF(D416="Car or van",(MIN(F416,MileageCarThreshold)-MIN(F416-E416,MileageCarThreshold))*MileageCarFirst+(MAX(F416-MileageCarThreshold,0)-MAX(F416-E416-MileageCarThreshold,0))*MileageCarAfter,IF(D416="Motorcycle",E416*MileageMotorcycle,IF(D416="Bicycle",E416*MileageBicycle,0))))</f>
      </c>
    </row>
    <row r="417" spans="1:7" x14ac:dyDescent="0.25">
      <c r="A417" s="7"/>
      <c r="B417" s="10"/>
      <c r="C417" s="10"/>
      <c r="D417" s="10"/>
      <c r="E417" s="14"/>
      <c r="F417" s="19">
        <f>IF(D417="Car or van",SUMIFS($E$6:E417,$D$6:D417,"Car or van"),"")</f>
      </c>
      <c r="G417" s="18">
        <f>IF(E417="","",IF(D417="Car or van",(MIN(F417,MileageCarThreshold)-MIN(F417-E417,MileageCarThreshold))*MileageCarFirst+(MAX(F417-MileageCarThreshold,0)-MAX(F417-E417-MileageCarThreshold,0))*MileageCarAfter,IF(D417="Motorcycle",E417*MileageMotorcycle,IF(D417="Bicycle",E417*MileageBicycle,0))))</f>
      </c>
    </row>
    <row r="418" spans="1:7" x14ac:dyDescent="0.25">
      <c r="A418" s="7"/>
      <c r="B418" s="10"/>
      <c r="C418" s="10"/>
      <c r="D418" s="10"/>
      <c r="E418" s="14"/>
      <c r="F418" s="19">
        <f>IF(D418="Car or van",SUMIFS($E$6:E418,$D$6:D418,"Car or van"),"")</f>
      </c>
      <c r="G418" s="18">
        <f>IF(E418="","",IF(D418="Car or van",(MIN(F418,MileageCarThreshold)-MIN(F418-E418,MileageCarThreshold))*MileageCarFirst+(MAX(F418-MileageCarThreshold,0)-MAX(F418-E418-MileageCarThreshold,0))*MileageCarAfter,IF(D418="Motorcycle",E418*MileageMotorcycle,IF(D418="Bicycle",E418*MileageBicycle,0))))</f>
      </c>
    </row>
    <row r="419" spans="1:7" x14ac:dyDescent="0.25">
      <c r="A419" s="7"/>
      <c r="B419" s="10"/>
      <c r="C419" s="10"/>
      <c r="D419" s="10"/>
      <c r="E419" s="14"/>
      <c r="F419" s="19">
        <f>IF(D419="Car or van",SUMIFS($E$6:E419,$D$6:D419,"Car or van"),"")</f>
      </c>
      <c r="G419" s="18">
        <f>IF(E419="","",IF(D419="Car or van",(MIN(F419,MileageCarThreshold)-MIN(F419-E419,MileageCarThreshold))*MileageCarFirst+(MAX(F419-MileageCarThreshold,0)-MAX(F419-E419-MileageCarThreshold,0))*MileageCarAfter,IF(D419="Motorcycle",E419*MileageMotorcycle,IF(D419="Bicycle",E419*MileageBicycle,0))))</f>
      </c>
    </row>
    <row r="420" spans="1:7" x14ac:dyDescent="0.25">
      <c r="A420" s="7"/>
      <c r="B420" s="10"/>
      <c r="C420" s="10"/>
      <c r="D420" s="10"/>
      <c r="E420" s="14"/>
      <c r="F420" s="19">
        <f>IF(D420="Car or van",SUMIFS($E$6:E420,$D$6:D420,"Car or van"),"")</f>
      </c>
      <c r="G420" s="18">
        <f>IF(E420="","",IF(D420="Car or van",(MIN(F420,MileageCarThreshold)-MIN(F420-E420,MileageCarThreshold))*MileageCarFirst+(MAX(F420-MileageCarThreshold,0)-MAX(F420-E420-MileageCarThreshold,0))*MileageCarAfter,IF(D420="Motorcycle",E420*MileageMotorcycle,IF(D420="Bicycle",E420*MileageBicycle,0))))</f>
      </c>
    </row>
    <row r="421" spans="1:7" x14ac:dyDescent="0.25">
      <c r="A421" s="7"/>
      <c r="B421" s="10"/>
      <c r="C421" s="10"/>
      <c r="D421" s="10"/>
      <c r="E421" s="14"/>
      <c r="F421" s="19">
        <f>IF(D421="Car or van",SUMIFS($E$6:E421,$D$6:D421,"Car or van"),"")</f>
      </c>
      <c r="G421" s="18">
        <f>IF(E421="","",IF(D421="Car or van",(MIN(F421,MileageCarThreshold)-MIN(F421-E421,MileageCarThreshold))*MileageCarFirst+(MAX(F421-MileageCarThreshold,0)-MAX(F421-E421-MileageCarThreshold,0))*MileageCarAfter,IF(D421="Motorcycle",E421*MileageMotorcycle,IF(D421="Bicycle",E421*MileageBicycle,0))))</f>
      </c>
    </row>
    <row r="422" spans="1:7" x14ac:dyDescent="0.25">
      <c r="A422" s="7"/>
      <c r="B422" s="10"/>
      <c r="C422" s="10"/>
      <c r="D422" s="10"/>
      <c r="E422" s="14"/>
      <c r="F422" s="19">
        <f>IF(D422="Car or van",SUMIFS($E$6:E422,$D$6:D422,"Car or van"),"")</f>
      </c>
      <c r="G422" s="18">
        <f>IF(E422="","",IF(D422="Car or van",(MIN(F422,MileageCarThreshold)-MIN(F422-E422,MileageCarThreshold))*MileageCarFirst+(MAX(F422-MileageCarThreshold,0)-MAX(F422-E422-MileageCarThreshold,0))*MileageCarAfter,IF(D422="Motorcycle",E422*MileageMotorcycle,IF(D422="Bicycle",E422*MileageBicycle,0))))</f>
      </c>
    </row>
    <row r="423" spans="1:7" x14ac:dyDescent="0.25">
      <c r="A423" s="7"/>
      <c r="B423" s="10"/>
      <c r="C423" s="10"/>
      <c r="D423" s="10"/>
      <c r="E423" s="14"/>
      <c r="F423" s="19">
        <f>IF(D423="Car or van",SUMIFS($E$6:E423,$D$6:D423,"Car or van"),"")</f>
      </c>
      <c r="G423" s="18">
        <f>IF(E423="","",IF(D423="Car or van",(MIN(F423,MileageCarThreshold)-MIN(F423-E423,MileageCarThreshold))*MileageCarFirst+(MAX(F423-MileageCarThreshold,0)-MAX(F423-E423-MileageCarThreshold,0))*MileageCarAfter,IF(D423="Motorcycle",E423*MileageMotorcycle,IF(D423="Bicycle",E423*MileageBicycle,0))))</f>
      </c>
    </row>
    <row r="424" spans="1:7" x14ac:dyDescent="0.25">
      <c r="A424" s="7"/>
      <c r="B424" s="10"/>
      <c r="C424" s="10"/>
      <c r="D424" s="10"/>
      <c r="E424" s="14"/>
      <c r="F424" s="19">
        <f>IF(D424="Car or van",SUMIFS($E$6:E424,$D$6:D424,"Car or van"),"")</f>
      </c>
      <c r="G424" s="18">
        <f>IF(E424="","",IF(D424="Car or van",(MIN(F424,MileageCarThreshold)-MIN(F424-E424,MileageCarThreshold))*MileageCarFirst+(MAX(F424-MileageCarThreshold,0)-MAX(F424-E424-MileageCarThreshold,0))*MileageCarAfter,IF(D424="Motorcycle",E424*MileageMotorcycle,IF(D424="Bicycle",E424*MileageBicycle,0))))</f>
      </c>
    </row>
    <row r="425" spans="1:7" x14ac:dyDescent="0.25">
      <c r="A425" s="7"/>
      <c r="B425" s="10"/>
      <c r="C425" s="10"/>
      <c r="D425" s="10"/>
      <c r="E425" s="14"/>
      <c r="F425" s="19">
        <f>IF(D425="Car or van",SUMIFS($E$6:E425,$D$6:D425,"Car or van"),"")</f>
      </c>
      <c r="G425" s="18">
        <f>IF(E425="","",IF(D425="Car or van",(MIN(F425,MileageCarThreshold)-MIN(F425-E425,MileageCarThreshold))*MileageCarFirst+(MAX(F425-MileageCarThreshold,0)-MAX(F425-E425-MileageCarThreshold,0))*MileageCarAfter,IF(D425="Motorcycle",E425*MileageMotorcycle,IF(D425="Bicycle",E425*MileageBicycle,0))))</f>
      </c>
    </row>
    <row r="426" spans="1:7" x14ac:dyDescent="0.25">
      <c r="A426" s="7"/>
      <c r="B426" s="10"/>
      <c r="C426" s="10"/>
      <c r="D426" s="10"/>
      <c r="E426" s="14"/>
      <c r="F426" s="19">
        <f>IF(D426="Car or van",SUMIFS($E$6:E426,$D$6:D426,"Car or van"),"")</f>
      </c>
      <c r="G426" s="18">
        <f>IF(E426="","",IF(D426="Car or van",(MIN(F426,MileageCarThreshold)-MIN(F426-E426,MileageCarThreshold))*MileageCarFirst+(MAX(F426-MileageCarThreshold,0)-MAX(F426-E426-MileageCarThreshold,0))*MileageCarAfter,IF(D426="Motorcycle",E426*MileageMotorcycle,IF(D426="Bicycle",E426*MileageBicycle,0))))</f>
      </c>
    </row>
    <row r="427" spans="1:7" x14ac:dyDescent="0.25">
      <c r="A427" s="7"/>
      <c r="B427" s="10"/>
      <c r="C427" s="10"/>
      <c r="D427" s="10"/>
      <c r="E427" s="14"/>
      <c r="F427" s="19">
        <f>IF(D427="Car or van",SUMIFS($E$6:E427,$D$6:D427,"Car or van"),"")</f>
      </c>
      <c r="G427" s="18">
        <f>IF(E427="","",IF(D427="Car or van",(MIN(F427,MileageCarThreshold)-MIN(F427-E427,MileageCarThreshold))*MileageCarFirst+(MAX(F427-MileageCarThreshold,0)-MAX(F427-E427-MileageCarThreshold,0))*MileageCarAfter,IF(D427="Motorcycle",E427*MileageMotorcycle,IF(D427="Bicycle",E427*MileageBicycle,0))))</f>
      </c>
    </row>
    <row r="428" spans="1:7" x14ac:dyDescent="0.25">
      <c r="A428" s="7"/>
      <c r="B428" s="10"/>
      <c r="C428" s="10"/>
      <c r="D428" s="10"/>
      <c r="E428" s="14"/>
      <c r="F428" s="19">
        <f>IF(D428="Car or van",SUMIFS($E$6:E428,$D$6:D428,"Car or van"),"")</f>
      </c>
      <c r="G428" s="18">
        <f>IF(E428="","",IF(D428="Car or van",(MIN(F428,MileageCarThreshold)-MIN(F428-E428,MileageCarThreshold))*MileageCarFirst+(MAX(F428-MileageCarThreshold,0)-MAX(F428-E428-MileageCarThreshold,0))*MileageCarAfter,IF(D428="Motorcycle",E428*MileageMotorcycle,IF(D428="Bicycle",E428*MileageBicycle,0))))</f>
      </c>
    </row>
    <row r="429" spans="1:7" x14ac:dyDescent="0.25">
      <c r="A429" s="7"/>
      <c r="B429" s="10"/>
      <c r="C429" s="10"/>
      <c r="D429" s="10"/>
      <c r="E429" s="14"/>
      <c r="F429" s="19">
        <f>IF(D429="Car or van",SUMIFS($E$6:E429,$D$6:D429,"Car or van"),"")</f>
      </c>
      <c r="G429" s="18">
        <f>IF(E429="","",IF(D429="Car or van",(MIN(F429,MileageCarThreshold)-MIN(F429-E429,MileageCarThreshold))*MileageCarFirst+(MAX(F429-MileageCarThreshold,0)-MAX(F429-E429-MileageCarThreshold,0))*MileageCarAfter,IF(D429="Motorcycle",E429*MileageMotorcycle,IF(D429="Bicycle",E429*MileageBicycle,0))))</f>
      </c>
    </row>
    <row r="430" spans="1:7" x14ac:dyDescent="0.25">
      <c r="A430" s="7"/>
      <c r="B430" s="10"/>
      <c r="C430" s="10"/>
      <c r="D430" s="10"/>
      <c r="E430" s="14"/>
      <c r="F430" s="19">
        <f>IF(D430="Car or van",SUMIFS($E$6:E430,$D$6:D430,"Car or van"),"")</f>
      </c>
      <c r="G430" s="18">
        <f>IF(E430="","",IF(D430="Car or van",(MIN(F430,MileageCarThreshold)-MIN(F430-E430,MileageCarThreshold))*MileageCarFirst+(MAX(F430-MileageCarThreshold,0)-MAX(F430-E430-MileageCarThreshold,0))*MileageCarAfter,IF(D430="Motorcycle",E430*MileageMotorcycle,IF(D430="Bicycle",E430*MileageBicycle,0))))</f>
      </c>
    </row>
    <row r="431" spans="1:7" x14ac:dyDescent="0.25">
      <c r="A431" s="7"/>
      <c r="B431" s="10"/>
      <c r="C431" s="10"/>
      <c r="D431" s="10"/>
      <c r="E431" s="14"/>
      <c r="F431" s="19">
        <f>IF(D431="Car or van",SUMIFS($E$6:E431,$D$6:D431,"Car or van"),"")</f>
      </c>
      <c r="G431" s="18">
        <f>IF(E431="","",IF(D431="Car or van",(MIN(F431,MileageCarThreshold)-MIN(F431-E431,MileageCarThreshold))*MileageCarFirst+(MAX(F431-MileageCarThreshold,0)-MAX(F431-E431-MileageCarThreshold,0))*MileageCarAfter,IF(D431="Motorcycle",E431*MileageMotorcycle,IF(D431="Bicycle",E431*MileageBicycle,0))))</f>
      </c>
    </row>
    <row r="432" spans="1:7" x14ac:dyDescent="0.25">
      <c r="A432" s="7"/>
      <c r="B432" s="10"/>
      <c r="C432" s="10"/>
      <c r="D432" s="10"/>
      <c r="E432" s="14"/>
      <c r="F432" s="19">
        <f>IF(D432="Car or van",SUMIFS($E$6:E432,$D$6:D432,"Car or van"),"")</f>
      </c>
      <c r="G432" s="18">
        <f>IF(E432="","",IF(D432="Car or van",(MIN(F432,MileageCarThreshold)-MIN(F432-E432,MileageCarThreshold))*MileageCarFirst+(MAX(F432-MileageCarThreshold,0)-MAX(F432-E432-MileageCarThreshold,0))*MileageCarAfter,IF(D432="Motorcycle",E432*MileageMotorcycle,IF(D432="Bicycle",E432*MileageBicycle,0))))</f>
      </c>
    </row>
    <row r="433" spans="1:7" x14ac:dyDescent="0.25">
      <c r="A433" s="7"/>
      <c r="B433" s="10"/>
      <c r="C433" s="10"/>
      <c r="D433" s="10"/>
      <c r="E433" s="14"/>
      <c r="F433" s="19">
        <f>IF(D433="Car or van",SUMIFS($E$6:E433,$D$6:D433,"Car or van"),"")</f>
      </c>
      <c r="G433" s="18">
        <f>IF(E433="","",IF(D433="Car or van",(MIN(F433,MileageCarThreshold)-MIN(F433-E433,MileageCarThreshold))*MileageCarFirst+(MAX(F433-MileageCarThreshold,0)-MAX(F433-E433-MileageCarThreshold,0))*MileageCarAfter,IF(D433="Motorcycle",E433*MileageMotorcycle,IF(D433="Bicycle",E433*MileageBicycle,0))))</f>
      </c>
    </row>
    <row r="434" spans="1:7" x14ac:dyDescent="0.25">
      <c r="A434" s="7"/>
      <c r="B434" s="10"/>
      <c r="C434" s="10"/>
      <c r="D434" s="10"/>
      <c r="E434" s="14"/>
      <c r="F434" s="19">
        <f>IF(D434="Car or van",SUMIFS($E$6:E434,$D$6:D434,"Car or van"),"")</f>
      </c>
      <c r="G434" s="18">
        <f>IF(E434="","",IF(D434="Car or van",(MIN(F434,MileageCarThreshold)-MIN(F434-E434,MileageCarThreshold))*MileageCarFirst+(MAX(F434-MileageCarThreshold,0)-MAX(F434-E434-MileageCarThreshold,0))*MileageCarAfter,IF(D434="Motorcycle",E434*MileageMotorcycle,IF(D434="Bicycle",E434*MileageBicycle,0))))</f>
      </c>
    </row>
    <row r="435" spans="1:7" x14ac:dyDescent="0.25">
      <c r="A435" s="7"/>
      <c r="B435" s="10"/>
      <c r="C435" s="10"/>
      <c r="D435" s="10"/>
      <c r="E435" s="14"/>
      <c r="F435" s="19">
        <f>IF(D435="Car or van",SUMIFS($E$6:E435,$D$6:D435,"Car or van"),"")</f>
      </c>
      <c r="G435" s="18">
        <f>IF(E435="","",IF(D435="Car or van",(MIN(F435,MileageCarThreshold)-MIN(F435-E435,MileageCarThreshold))*MileageCarFirst+(MAX(F435-MileageCarThreshold,0)-MAX(F435-E435-MileageCarThreshold,0))*MileageCarAfter,IF(D435="Motorcycle",E435*MileageMotorcycle,IF(D435="Bicycle",E435*MileageBicycle,0))))</f>
      </c>
    </row>
    <row r="436" spans="1:7" x14ac:dyDescent="0.25">
      <c r="A436" s="7"/>
      <c r="B436" s="10"/>
      <c r="C436" s="10"/>
      <c r="D436" s="10"/>
      <c r="E436" s="14"/>
      <c r="F436" s="19">
        <f>IF(D436="Car or van",SUMIFS($E$6:E436,$D$6:D436,"Car or van"),"")</f>
      </c>
      <c r="G436" s="18">
        <f>IF(E436="","",IF(D436="Car or van",(MIN(F436,MileageCarThreshold)-MIN(F436-E436,MileageCarThreshold))*MileageCarFirst+(MAX(F436-MileageCarThreshold,0)-MAX(F436-E436-MileageCarThreshold,0))*MileageCarAfter,IF(D436="Motorcycle",E436*MileageMotorcycle,IF(D436="Bicycle",E436*MileageBicycle,0))))</f>
      </c>
    </row>
    <row r="437" spans="1:7" x14ac:dyDescent="0.25">
      <c r="A437" s="7"/>
      <c r="B437" s="10"/>
      <c r="C437" s="10"/>
      <c r="D437" s="10"/>
      <c r="E437" s="14"/>
      <c r="F437" s="19">
        <f>IF(D437="Car or van",SUMIFS($E$6:E437,$D$6:D437,"Car or van"),"")</f>
      </c>
      <c r="G437" s="18">
        <f>IF(E437="","",IF(D437="Car or van",(MIN(F437,MileageCarThreshold)-MIN(F437-E437,MileageCarThreshold))*MileageCarFirst+(MAX(F437-MileageCarThreshold,0)-MAX(F437-E437-MileageCarThreshold,0))*MileageCarAfter,IF(D437="Motorcycle",E437*MileageMotorcycle,IF(D437="Bicycle",E437*MileageBicycle,0))))</f>
      </c>
    </row>
    <row r="438" spans="1:7" x14ac:dyDescent="0.25">
      <c r="A438" s="7"/>
      <c r="B438" s="10"/>
      <c r="C438" s="10"/>
      <c r="D438" s="10"/>
      <c r="E438" s="14"/>
      <c r="F438" s="19">
        <f>IF(D438="Car or van",SUMIFS($E$6:E438,$D$6:D438,"Car or van"),"")</f>
      </c>
      <c r="G438" s="18">
        <f>IF(E438="","",IF(D438="Car or van",(MIN(F438,MileageCarThreshold)-MIN(F438-E438,MileageCarThreshold))*MileageCarFirst+(MAX(F438-MileageCarThreshold,0)-MAX(F438-E438-MileageCarThreshold,0))*MileageCarAfter,IF(D438="Motorcycle",E438*MileageMotorcycle,IF(D438="Bicycle",E438*MileageBicycle,0))))</f>
      </c>
    </row>
    <row r="439" spans="1:7" x14ac:dyDescent="0.25">
      <c r="A439" s="7"/>
      <c r="B439" s="10"/>
      <c r="C439" s="10"/>
      <c r="D439" s="10"/>
      <c r="E439" s="14"/>
      <c r="F439" s="19">
        <f>IF(D439="Car or van",SUMIFS($E$6:E439,$D$6:D439,"Car or van"),"")</f>
      </c>
      <c r="G439" s="18">
        <f>IF(E439="","",IF(D439="Car or van",(MIN(F439,MileageCarThreshold)-MIN(F439-E439,MileageCarThreshold))*MileageCarFirst+(MAX(F439-MileageCarThreshold,0)-MAX(F439-E439-MileageCarThreshold,0))*MileageCarAfter,IF(D439="Motorcycle",E439*MileageMotorcycle,IF(D439="Bicycle",E439*MileageBicycle,0))))</f>
      </c>
    </row>
    <row r="440" spans="1:7" x14ac:dyDescent="0.25">
      <c r="A440" s="7"/>
      <c r="B440" s="10"/>
      <c r="C440" s="10"/>
      <c r="D440" s="10"/>
      <c r="E440" s="14"/>
      <c r="F440" s="19">
        <f>IF(D440="Car or van",SUMIFS($E$6:E440,$D$6:D440,"Car or van"),"")</f>
      </c>
      <c r="G440" s="18">
        <f>IF(E440="","",IF(D440="Car or van",(MIN(F440,MileageCarThreshold)-MIN(F440-E440,MileageCarThreshold))*MileageCarFirst+(MAX(F440-MileageCarThreshold,0)-MAX(F440-E440-MileageCarThreshold,0))*MileageCarAfter,IF(D440="Motorcycle",E440*MileageMotorcycle,IF(D440="Bicycle",E440*MileageBicycle,0))))</f>
      </c>
    </row>
    <row r="441" spans="1:7" x14ac:dyDescent="0.25">
      <c r="A441" s="7"/>
      <c r="B441" s="10"/>
      <c r="C441" s="10"/>
      <c r="D441" s="10"/>
      <c r="E441" s="14"/>
      <c r="F441" s="19">
        <f>IF(D441="Car or van",SUMIFS($E$6:E441,$D$6:D441,"Car or van"),"")</f>
      </c>
      <c r="G441" s="18">
        <f>IF(E441="","",IF(D441="Car or van",(MIN(F441,MileageCarThreshold)-MIN(F441-E441,MileageCarThreshold))*MileageCarFirst+(MAX(F441-MileageCarThreshold,0)-MAX(F441-E441-MileageCarThreshold,0))*MileageCarAfter,IF(D441="Motorcycle",E441*MileageMotorcycle,IF(D441="Bicycle",E441*MileageBicycle,0))))</f>
      </c>
    </row>
    <row r="442" spans="1:7" x14ac:dyDescent="0.25">
      <c r="A442" s="7"/>
      <c r="B442" s="10"/>
      <c r="C442" s="10"/>
      <c r="D442" s="10"/>
      <c r="E442" s="14"/>
      <c r="F442" s="19">
        <f>IF(D442="Car or van",SUMIFS($E$6:E442,$D$6:D442,"Car or van"),"")</f>
      </c>
      <c r="G442" s="18">
        <f>IF(E442="","",IF(D442="Car or van",(MIN(F442,MileageCarThreshold)-MIN(F442-E442,MileageCarThreshold))*MileageCarFirst+(MAX(F442-MileageCarThreshold,0)-MAX(F442-E442-MileageCarThreshold,0))*MileageCarAfter,IF(D442="Motorcycle",E442*MileageMotorcycle,IF(D442="Bicycle",E442*MileageBicycle,0))))</f>
      </c>
    </row>
    <row r="443" spans="1:7" x14ac:dyDescent="0.25">
      <c r="A443" s="7"/>
      <c r="B443" s="10"/>
      <c r="C443" s="10"/>
      <c r="D443" s="10"/>
      <c r="E443" s="14"/>
      <c r="F443" s="19">
        <f>IF(D443="Car or van",SUMIFS($E$6:E443,$D$6:D443,"Car or van"),"")</f>
      </c>
      <c r="G443" s="18">
        <f>IF(E443="","",IF(D443="Car or van",(MIN(F443,MileageCarThreshold)-MIN(F443-E443,MileageCarThreshold))*MileageCarFirst+(MAX(F443-MileageCarThreshold,0)-MAX(F443-E443-MileageCarThreshold,0))*MileageCarAfter,IF(D443="Motorcycle",E443*MileageMotorcycle,IF(D443="Bicycle",E443*MileageBicycle,0))))</f>
      </c>
    </row>
    <row r="444" spans="1:7" x14ac:dyDescent="0.25">
      <c r="A444" s="7"/>
      <c r="B444" s="10"/>
      <c r="C444" s="10"/>
      <c r="D444" s="10"/>
      <c r="E444" s="14"/>
      <c r="F444" s="19">
        <f>IF(D444="Car or van",SUMIFS($E$6:E444,$D$6:D444,"Car or van"),"")</f>
      </c>
      <c r="G444" s="18">
        <f>IF(E444="","",IF(D444="Car or van",(MIN(F444,MileageCarThreshold)-MIN(F444-E444,MileageCarThreshold))*MileageCarFirst+(MAX(F444-MileageCarThreshold,0)-MAX(F444-E444-MileageCarThreshold,0))*MileageCarAfter,IF(D444="Motorcycle",E444*MileageMotorcycle,IF(D444="Bicycle",E444*MileageBicycle,0))))</f>
      </c>
    </row>
    <row r="445" spans="1:7" x14ac:dyDescent="0.25">
      <c r="A445" s="7"/>
      <c r="B445" s="10"/>
      <c r="C445" s="10"/>
      <c r="D445" s="10"/>
      <c r="E445" s="14"/>
      <c r="F445" s="19">
        <f>IF(D445="Car or van",SUMIFS($E$6:E445,$D$6:D445,"Car or van"),"")</f>
      </c>
      <c r="G445" s="18">
        <f>IF(E445="","",IF(D445="Car or van",(MIN(F445,MileageCarThreshold)-MIN(F445-E445,MileageCarThreshold))*MileageCarFirst+(MAX(F445-MileageCarThreshold,0)-MAX(F445-E445-MileageCarThreshold,0))*MileageCarAfter,IF(D445="Motorcycle",E445*MileageMotorcycle,IF(D445="Bicycle",E445*MileageBicycle,0))))</f>
      </c>
    </row>
    <row r="446" spans="1:7" x14ac:dyDescent="0.25">
      <c r="A446" s="7"/>
      <c r="B446" s="10"/>
      <c r="C446" s="10"/>
      <c r="D446" s="10"/>
      <c r="E446" s="14"/>
      <c r="F446" s="19">
        <f>IF(D446="Car or van",SUMIFS($E$6:E446,$D$6:D446,"Car or van"),"")</f>
      </c>
      <c r="G446" s="18">
        <f>IF(E446="","",IF(D446="Car or van",(MIN(F446,MileageCarThreshold)-MIN(F446-E446,MileageCarThreshold))*MileageCarFirst+(MAX(F446-MileageCarThreshold,0)-MAX(F446-E446-MileageCarThreshold,0))*MileageCarAfter,IF(D446="Motorcycle",E446*MileageMotorcycle,IF(D446="Bicycle",E446*MileageBicycle,0))))</f>
      </c>
    </row>
    <row r="447" spans="1:7" x14ac:dyDescent="0.25">
      <c r="A447" s="7"/>
      <c r="B447" s="10"/>
      <c r="C447" s="10"/>
      <c r="D447" s="10"/>
      <c r="E447" s="14"/>
      <c r="F447" s="19">
        <f>IF(D447="Car or van",SUMIFS($E$6:E447,$D$6:D447,"Car or van"),"")</f>
      </c>
      <c r="G447" s="18">
        <f>IF(E447="","",IF(D447="Car or van",(MIN(F447,MileageCarThreshold)-MIN(F447-E447,MileageCarThreshold))*MileageCarFirst+(MAX(F447-MileageCarThreshold,0)-MAX(F447-E447-MileageCarThreshold,0))*MileageCarAfter,IF(D447="Motorcycle",E447*MileageMotorcycle,IF(D447="Bicycle",E447*MileageBicycle,0))))</f>
      </c>
    </row>
    <row r="448" spans="1:7" x14ac:dyDescent="0.25">
      <c r="A448" s="7"/>
      <c r="B448" s="10"/>
      <c r="C448" s="10"/>
      <c r="D448" s="10"/>
      <c r="E448" s="14"/>
      <c r="F448" s="19">
        <f>IF(D448="Car or van",SUMIFS($E$6:E448,$D$6:D448,"Car or van"),"")</f>
      </c>
      <c r="G448" s="18">
        <f>IF(E448="","",IF(D448="Car or van",(MIN(F448,MileageCarThreshold)-MIN(F448-E448,MileageCarThreshold))*MileageCarFirst+(MAX(F448-MileageCarThreshold,0)-MAX(F448-E448-MileageCarThreshold,0))*MileageCarAfter,IF(D448="Motorcycle",E448*MileageMotorcycle,IF(D448="Bicycle",E448*MileageBicycle,0))))</f>
      </c>
    </row>
    <row r="449" spans="1:7" x14ac:dyDescent="0.25">
      <c r="A449" s="7"/>
      <c r="B449" s="10"/>
      <c r="C449" s="10"/>
      <c r="D449" s="10"/>
      <c r="E449" s="14"/>
      <c r="F449" s="19">
        <f>IF(D449="Car or van",SUMIFS($E$6:E449,$D$6:D449,"Car or van"),"")</f>
      </c>
      <c r="G449" s="18">
        <f>IF(E449="","",IF(D449="Car or van",(MIN(F449,MileageCarThreshold)-MIN(F449-E449,MileageCarThreshold))*MileageCarFirst+(MAX(F449-MileageCarThreshold,0)-MAX(F449-E449-MileageCarThreshold,0))*MileageCarAfter,IF(D449="Motorcycle",E449*MileageMotorcycle,IF(D449="Bicycle",E449*MileageBicycle,0))))</f>
      </c>
    </row>
    <row r="450" spans="1:7" x14ac:dyDescent="0.25">
      <c r="A450" s="7"/>
      <c r="B450" s="10"/>
      <c r="C450" s="10"/>
      <c r="D450" s="10"/>
      <c r="E450" s="14"/>
      <c r="F450" s="19">
        <f>IF(D450="Car or van",SUMIFS($E$6:E450,$D$6:D450,"Car or van"),"")</f>
      </c>
      <c r="G450" s="18">
        <f>IF(E450="","",IF(D450="Car or van",(MIN(F450,MileageCarThreshold)-MIN(F450-E450,MileageCarThreshold))*MileageCarFirst+(MAX(F450-MileageCarThreshold,0)-MAX(F450-E450-MileageCarThreshold,0))*MileageCarAfter,IF(D450="Motorcycle",E450*MileageMotorcycle,IF(D450="Bicycle",E450*MileageBicycle,0))))</f>
      </c>
    </row>
    <row r="451" spans="1:7" x14ac:dyDescent="0.25">
      <c r="A451" s="7"/>
      <c r="B451" s="10"/>
      <c r="C451" s="10"/>
      <c r="D451" s="10"/>
      <c r="E451" s="14"/>
      <c r="F451" s="19">
        <f>IF(D451="Car or van",SUMIFS($E$6:E451,$D$6:D451,"Car or van"),"")</f>
      </c>
      <c r="G451" s="18">
        <f>IF(E451="","",IF(D451="Car or van",(MIN(F451,MileageCarThreshold)-MIN(F451-E451,MileageCarThreshold))*MileageCarFirst+(MAX(F451-MileageCarThreshold,0)-MAX(F451-E451-MileageCarThreshold,0))*MileageCarAfter,IF(D451="Motorcycle",E451*MileageMotorcycle,IF(D451="Bicycle",E451*MileageBicycle,0))))</f>
      </c>
    </row>
    <row r="452" spans="1:7" x14ac:dyDescent="0.25">
      <c r="A452" s="7"/>
      <c r="B452" s="10"/>
      <c r="C452" s="10"/>
      <c r="D452" s="10"/>
      <c r="E452" s="14"/>
      <c r="F452" s="19">
        <f>IF(D452="Car or van",SUMIFS($E$6:E452,$D$6:D452,"Car or van"),"")</f>
      </c>
      <c r="G452" s="18">
        <f>IF(E452="","",IF(D452="Car or van",(MIN(F452,MileageCarThreshold)-MIN(F452-E452,MileageCarThreshold))*MileageCarFirst+(MAX(F452-MileageCarThreshold,0)-MAX(F452-E452-MileageCarThreshold,0))*MileageCarAfter,IF(D452="Motorcycle",E452*MileageMotorcycle,IF(D452="Bicycle",E452*MileageBicycle,0))))</f>
      </c>
    </row>
    <row r="453" spans="1:7" x14ac:dyDescent="0.25">
      <c r="A453" s="7"/>
      <c r="B453" s="10"/>
      <c r="C453" s="10"/>
      <c r="D453" s="10"/>
      <c r="E453" s="14"/>
      <c r="F453" s="19">
        <f>IF(D453="Car or van",SUMIFS($E$6:E453,$D$6:D453,"Car or van"),"")</f>
      </c>
      <c r="G453" s="18">
        <f>IF(E453="","",IF(D453="Car or van",(MIN(F453,MileageCarThreshold)-MIN(F453-E453,MileageCarThreshold))*MileageCarFirst+(MAX(F453-MileageCarThreshold,0)-MAX(F453-E453-MileageCarThreshold,0))*MileageCarAfter,IF(D453="Motorcycle",E453*MileageMotorcycle,IF(D453="Bicycle",E453*MileageBicycle,0))))</f>
      </c>
    </row>
    <row r="454" spans="1:7" x14ac:dyDescent="0.25">
      <c r="A454" s="7"/>
      <c r="B454" s="10"/>
      <c r="C454" s="10"/>
      <c r="D454" s="10"/>
      <c r="E454" s="14"/>
      <c r="F454" s="19">
        <f>IF(D454="Car or van",SUMIFS($E$6:E454,$D$6:D454,"Car or van"),"")</f>
      </c>
      <c r="G454" s="18">
        <f>IF(E454="","",IF(D454="Car or van",(MIN(F454,MileageCarThreshold)-MIN(F454-E454,MileageCarThreshold))*MileageCarFirst+(MAX(F454-MileageCarThreshold,0)-MAX(F454-E454-MileageCarThreshold,0))*MileageCarAfter,IF(D454="Motorcycle",E454*MileageMotorcycle,IF(D454="Bicycle",E454*MileageBicycle,0))))</f>
      </c>
    </row>
    <row r="455" spans="1:7" x14ac:dyDescent="0.25">
      <c r="A455" s="7"/>
      <c r="B455" s="10"/>
      <c r="C455" s="10"/>
      <c r="D455" s="10"/>
      <c r="E455" s="14"/>
      <c r="F455" s="19">
        <f>IF(D455="Car or van",SUMIFS($E$6:E455,$D$6:D455,"Car or van"),"")</f>
      </c>
      <c r="G455" s="18">
        <f>IF(E455="","",IF(D455="Car or van",(MIN(F455,MileageCarThreshold)-MIN(F455-E455,MileageCarThreshold))*MileageCarFirst+(MAX(F455-MileageCarThreshold,0)-MAX(F455-E455-MileageCarThreshold,0))*MileageCarAfter,IF(D455="Motorcycle",E455*MileageMotorcycle,IF(D455="Bicycle",E455*MileageBicycle,0))))</f>
      </c>
    </row>
    <row r="456" spans="1:7" x14ac:dyDescent="0.25">
      <c r="A456" s="7"/>
      <c r="B456" s="10"/>
      <c r="C456" s="10"/>
      <c r="D456" s="10"/>
      <c r="E456" s="14"/>
      <c r="F456" s="19">
        <f>IF(D456="Car or van",SUMIFS($E$6:E456,$D$6:D456,"Car or van"),"")</f>
      </c>
      <c r="G456" s="18">
        <f>IF(E456="","",IF(D456="Car or van",(MIN(F456,MileageCarThreshold)-MIN(F456-E456,MileageCarThreshold))*MileageCarFirst+(MAX(F456-MileageCarThreshold,0)-MAX(F456-E456-MileageCarThreshold,0))*MileageCarAfter,IF(D456="Motorcycle",E456*MileageMotorcycle,IF(D456="Bicycle",E456*MileageBicycle,0))))</f>
      </c>
    </row>
    <row r="457" spans="1:7" x14ac:dyDescent="0.25">
      <c r="A457" s="7"/>
      <c r="B457" s="10"/>
      <c r="C457" s="10"/>
      <c r="D457" s="10"/>
      <c r="E457" s="14"/>
      <c r="F457" s="19">
        <f>IF(D457="Car or van",SUMIFS($E$6:E457,$D$6:D457,"Car or van"),"")</f>
      </c>
      <c r="G457" s="18">
        <f>IF(E457="","",IF(D457="Car or van",(MIN(F457,MileageCarThreshold)-MIN(F457-E457,MileageCarThreshold))*MileageCarFirst+(MAX(F457-MileageCarThreshold,0)-MAX(F457-E457-MileageCarThreshold,0))*MileageCarAfter,IF(D457="Motorcycle",E457*MileageMotorcycle,IF(D457="Bicycle",E457*MileageBicycle,0))))</f>
      </c>
    </row>
    <row r="458" spans="1:7" x14ac:dyDescent="0.25">
      <c r="A458" s="7"/>
      <c r="B458" s="10"/>
      <c r="C458" s="10"/>
      <c r="D458" s="10"/>
      <c r="E458" s="14"/>
      <c r="F458" s="19">
        <f>IF(D458="Car or van",SUMIFS($E$6:E458,$D$6:D458,"Car or van"),"")</f>
      </c>
      <c r="G458" s="18">
        <f>IF(E458="","",IF(D458="Car or van",(MIN(F458,MileageCarThreshold)-MIN(F458-E458,MileageCarThreshold))*MileageCarFirst+(MAX(F458-MileageCarThreshold,0)-MAX(F458-E458-MileageCarThreshold,0))*MileageCarAfter,IF(D458="Motorcycle",E458*MileageMotorcycle,IF(D458="Bicycle",E458*MileageBicycle,0))))</f>
      </c>
    </row>
    <row r="459" spans="1:7" x14ac:dyDescent="0.25">
      <c r="A459" s="7"/>
      <c r="B459" s="10"/>
      <c r="C459" s="10"/>
      <c r="D459" s="10"/>
      <c r="E459" s="14"/>
      <c r="F459" s="19">
        <f>IF(D459="Car or van",SUMIFS($E$6:E459,$D$6:D459,"Car or van"),"")</f>
      </c>
      <c r="G459" s="18">
        <f>IF(E459="","",IF(D459="Car or van",(MIN(F459,MileageCarThreshold)-MIN(F459-E459,MileageCarThreshold))*MileageCarFirst+(MAX(F459-MileageCarThreshold,0)-MAX(F459-E459-MileageCarThreshold,0))*MileageCarAfter,IF(D459="Motorcycle",E459*MileageMotorcycle,IF(D459="Bicycle",E459*MileageBicycle,0))))</f>
      </c>
    </row>
    <row r="460" spans="1:7" x14ac:dyDescent="0.25">
      <c r="A460" s="7"/>
      <c r="B460" s="10"/>
      <c r="C460" s="10"/>
      <c r="D460" s="10"/>
      <c r="E460" s="14"/>
      <c r="F460" s="19">
        <f>IF(D460="Car or van",SUMIFS($E$6:E460,$D$6:D460,"Car or van"),"")</f>
      </c>
      <c r="G460" s="18">
        <f>IF(E460="","",IF(D460="Car or van",(MIN(F460,MileageCarThreshold)-MIN(F460-E460,MileageCarThreshold))*MileageCarFirst+(MAX(F460-MileageCarThreshold,0)-MAX(F460-E460-MileageCarThreshold,0))*MileageCarAfter,IF(D460="Motorcycle",E460*MileageMotorcycle,IF(D460="Bicycle",E460*MileageBicycle,0))))</f>
      </c>
    </row>
    <row r="461" spans="1:7" x14ac:dyDescent="0.25">
      <c r="A461" s="7"/>
      <c r="B461" s="10"/>
      <c r="C461" s="10"/>
      <c r="D461" s="10"/>
      <c r="E461" s="14"/>
      <c r="F461" s="19">
        <f>IF(D461="Car or van",SUMIFS($E$6:E461,$D$6:D461,"Car or van"),"")</f>
      </c>
      <c r="G461" s="18">
        <f>IF(E461="","",IF(D461="Car or van",(MIN(F461,MileageCarThreshold)-MIN(F461-E461,MileageCarThreshold))*MileageCarFirst+(MAX(F461-MileageCarThreshold,0)-MAX(F461-E461-MileageCarThreshold,0))*MileageCarAfter,IF(D461="Motorcycle",E461*MileageMotorcycle,IF(D461="Bicycle",E461*MileageBicycle,0))))</f>
      </c>
    </row>
    <row r="462" spans="1:7" x14ac:dyDescent="0.25">
      <c r="A462" s="7"/>
      <c r="B462" s="10"/>
      <c r="C462" s="10"/>
      <c r="D462" s="10"/>
      <c r="E462" s="14"/>
      <c r="F462" s="19">
        <f>IF(D462="Car or van",SUMIFS($E$6:E462,$D$6:D462,"Car or van"),"")</f>
      </c>
      <c r="G462" s="18">
        <f>IF(E462="","",IF(D462="Car or van",(MIN(F462,MileageCarThreshold)-MIN(F462-E462,MileageCarThreshold))*MileageCarFirst+(MAX(F462-MileageCarThreshold,0)-MAX(F462-E462-MileageCarThreshold,0))*MileageCarAfter,IF(D462="Motorcycle",E462*MileageMotorcycle,IF(D462="Bicycle",E462*MileageBicycle,0))))</f>
      </c>
    </row>
    <row r="463" spans="1:7" x14ac:dyDescent="0.25">
      <c r="A463" s="7"/>
      <c r="B463" s="10"/>
      <c r="C463" s="10"/>
      <c r="D463" s="10"/>
      <c r="E463" s="14"/>
      <c r="F463" s="19">
        <f>IF(D463="Car or van",SUMIFS($E$6:E463,$D$6:D463,"Car or van"),"")</f>
      </c>
      <c r="G463" s="18">
        <f>IF(E463="","",IF(D463="Car or van",(MIN(F463,MileageCarThreshold)-MIN(F463-E463,MileageCarThreshold))*MileageCarFirst+(MAX(F463-MileageCarThreshold,0)-MAX(F463-E463-MileageCarThreshold,0))*MileageCarAfter,IF(D463="Motorcycle",E463*MileageMotorcycle,IF(D463="Bicycle",E463*MileageBicycle,0))))</f>
      </c>
    </row>
    <row r="464" spans="1:7" x14ac:dyDescent="0.25">
      <c r="A464" s="7"/>
      <c r="B464" s="10"/>
      <c r="C464" s="10"/>
      <c r="D464" s="10"/>
      <c r="E464" s="14"/>
      <c r="F464" s="19">
        <f>IF(D464="Car or van",SUMIFS($E$6:E464,$D$6:D464,"Car or van"),"")</f>
      </c>
      <c r="G464" s="18">
        <f>IF(E464="","",IF(D464="Car or van",(MIN(F464,MileageCarThreshold)-MIN(F464-E464,MileageCarThreshold))*MileageCarFirst+(MAX(F464-MileageCarThreshold,0)-MAX(F464-E464-MileageCarThreshold,0))*MileageCarAfter,IF(D464="Motorcycle",E464*MileageMotorcycle,IF(D464="Bicycle",E464*MileageBicycle,0))))</f>
      </c>
    </row>
    <row r="465" spans="1:7" x14ac:dyDescent="0.25">
      <c r="A465" s="7"/>
      <c r="B465" s="10"/>
      <c r="C465" s="10"/>
      <c r="D465" s="10"/>
      <c r="E465" s="14"/>
      <c r="F465" s="19">
        <f>IF(D465="Car or van",SUMIFS($E$6:E465,$D$6:D465,"Car or van"),"")</f>
      </c>
      <c r="G465" s="18">
        <f>IF(E465="","",IF(D465="Car or van",(MIN(F465,MileageCarThreshold)-MIN(F465-E465,MileageCarThreshold))*MileageCarFirst+(MAX(F465-MileageCarThreshold,0)-MAX(F465-E465-MileageCarThreshold,0))*MileageCarAfter,IF(D465="Motorcycle",E465*MileageMotorcycle,IF(D465="Bicycle",E465*MileageBicycle,0))))</f>
      </c>
    </row>
    <row r="466" spans="1:7" x14ac:dyDescent="0.25">
      <c r="A466" s="7"/>
      <c r="B466" s="10"/>
      <c r="C466" s="10"/>
      <c r="D466" s="10"/>
      <c r="E466" s="14"/>
      <c r="F466" s="19">
        <f>IF(D466="Car or van",SUMIFS($E$6:E466,$D$6:D466,"Car or van"),"")</f>
      </c>
      <c r="G466" s="18">
        <f>IF(E466="","",IF(D466="Car or van",(MIN(F466,MileageCarThreshold)-MIN(F466-E466,MileageCarThreshold))*MileageCarFirst+(MAX(F466-MileageCarThreshold,0)-MAX(F466-E466-MileageCarThreshold,0))*MileageCarAfter,IF(D466="Motorcycle",E466*MileageMotorcycle,IF(D466="Bicycle",E466*MileageBicycle,0))))</f>
      </c>
    </row>
    <row r="467" spans="1:7" x14ac:dyDescent="0.25">
      <c r="A467" s="7"/>
      <c r="B467" s="10"/>
      <c r="C467" s="10"/>
      <c r="D467" s="10"/>
      <c r="E467" s="14"/>
      <c r="F467" s="19">
        <f>IF(D467="Car or van",SUMIFS($E$6:E467,$D$6:D467,"Car or van"),"")</f>
      </c>
      <c r="G467" s="18">
        <f>IF(E467="","",IF(D467="Car or van",(MIN(F467,MileageCarThreshold)-MIN(F467-E467,MileageCarThreshold))*MileageCarFirst+(MAX(F467-MileageCarThreshold,0)-MAX(F467-E467-MileageCarThreshold,0))*MileageCarAfter,IF(D467="Motorcycle",E467*MileageMotorcycle,IF(D467="Bicycle",E467*MileageBicycle,0))))</f>
      </c>
    </row>
    <row r="468" spans="1:7" x14ac:dyDescent="0.25">
      <c r="A468" s="7"/>
      <c r="B468" s="10"/>
      <c r="C468" s="10"/>
      <c r="D468" s="10"/>
      <c r="E468" s="14"/>
      <c r="F468" s="19">
        <f>IF(D468="Car or van",SUMIFS($E$6:E468,$D$6:D468,"Car or van"),"")</f>
      </c>
      <c r="G468" s="18">
        <f>IF(E468="","",IF(D468="Car or van",(MIN(F468,MileageCarThreshold)-MIN(F468-E468,MileageCarThreshold))*MileageCarFirst+(MAX(F468-MileageCarThreshold,0)-MAX(F468-E468-MileageCarThreshold,0))*MileageCarAfter,IF(D468="Motorcycle",E468*MileageMotorcycle,IF(D468="Bicycle",E468*MileageBicycle,0))))</f>
      </c>
    </row>
    <row r="469" spans="1:7" x14ac:dyDescent="0.25">
      <c r="A469" s="7"/>
      <c r="B469" s="10"/>
      <c r="C469" s="10"/>
      <c r="D469" s="10"/>
      <c r="E469" s="14"/>
      <c r="F469" s="19">
        <f>IF(D469="Car or van",SUMIFS($E$6:E469,$D$6:D469,"Car or van"),"")</f>
      </c>
      <c r="G469" s="18">
        <f>IF(E469="","",IF(D469="Car or van",(MIN(F469,MileageCarThreshold)-MIN(F469-E469,MileageCarThreshold))*MileageCarFirst+(MAX(F469-MileageCarThreshold,0)-MAX(F469-E469-MileageCarThreshold,0))*MileageCarAfter,IF(D469="Motorcycle",E469*MileageMotorcycle,IF(D469="Bicycle",E469*MileageBicycle,0))))</f>
      </c>
    </row>
    <row r="470" spans="1:7" x14ac:dyDescent="0.25">
      <c r="A470" s="7"/>
      <c r="B470" s="10"/>
      <c r="C470" s="10"/>
      <c r="D470" s="10"/>
      <c r="E470" s="14"/>
      <c r="F470" s="19">
        <f>IF(D470="Car or van",SUMIFS($E$6:E470,$D$6:D470,"Car or van"),"")</f>
      </c>
      <c r="G470" s="18">
        <f>IF(E470="","",IF(D470="Car or van",(MIN(F470,MileageCarThreshold)-MIN(F470-E470,MileageCarThreshold))*MileageCarFirst+(MAX(F470-MileageCarThreshold,0)-MAX(F470-E470-MileageCarThreshold,0))*MileageCarAfter,IF(D470="Motorcycle",E470*MileageMotorcycle,IF(D470="Bicycle",E470*MileageBicycle,0))))</f>
      </c>
    </row>
    <row r="471" spans="1:7" x14ac:dyDescent="0.25">
      <c r="A471" s="7"/>
      <c r="B471" s="10"/>
      <c r="C471" s="10"/>
      <c r="D471" s="10"/>
      <c r="E471" s="14"/>
      <c r="F471" s="19">
        <f>IF(D471="Car or van",SUMIFS($E$6:E471,$D$6:D471,"Car or van"),"")</f>
      </c>
      <c r="G471" s="18">
        <f>IF(E471="","",IF(D471="Car or van",(MIN(F471,MileageCarThreshold)-MIN(F471-E471,MileageCarThreshold))*MileageCarFirst+(MAX(F471-MileageCarThreshold,0)-MAX(F471-E471-MileageCarThreshold,0))*MileageCarAfter,IF(D471="Motorcycle",E471*MileageMotorcycle,IF(D471="Bicycle",E471*MileageBicycle,0))))</f>
      </c>
    </row>
    <row r="472" spans="1:7" x14ac:dyDescent="0.25">
      <c r="A472" s="7"/>
      <c r="B472" s="10"/>
      <c r="C472" s="10"/>
      <c r="D472" s="10"/>
      <c r="E472" s="14"/>
      <c r="F472" s="19">
        <f>IF(D472="Car or van",SUMIFS($E$6:E472,$D$6:D472,"Car or van"),"")</f>
      </c>
      <c r="G472" s="18">
        <f>IF(E472="","",IF(D472="Car or van",(MIN(F472,MileageCarThreshold)-MIN(F472-E472,MileageCarThreshold))*MileageCarFirst+(MAX(F472-MileageCarThreshold,0)-MAX(F472-E472-MileageCarThreshold,0))*MileageCarAfter,IF(D472="Motorcycle",E472*MileageMotorcycle,IF(D472="Bicycle",E472*MileageBicycle,0))))</f>
      </c>
    </row>
    <row r="473" spans="1:7" x14ac:dyDescent="0.25">
      <c r="A473" s="7"/>
      <c r="B473" s="10"/>
      <c r="C473" s="10"/>
      <c r="D473" s="10"/>
      <c r="E473" s="14"/>
      <c r="F473" s="19">
        <f>IF(D473="Car or van",SUMIFS($E$6:E473,$D$6:D473,"Car or van"),"")</f>
      </c>
      <c r="G473" s="18">
        <f>IF(E473="","",IF(D473="Car or van",(MIN(F473,MileageCarThreshold)-MIN(F473-E473,MileageCarThreshold))*MileageCarFirst+(MAX(F473-MileageCarThreshold,0)-MAX(F473-E473-MileageCarThreshold,0))*MileageCarAfter,IF(D473="Motorcycle",E473*MileageMotorcycle,IF(D473="Bicycle",E473*MileageBicycle,0))))</f>
      </c>
    </row>
    <row r="474" spans="1:7" x14ac:dyDescent="0.25">
      <c r="A474" s="7"/>
      <c r="B474" s="10"/>
      <c r="C474" s="10"/>
      <c r="D474" s="10"/>
      <c r="E474" s="14"/>
      <c r="F474" s="19">
        <f>IF(D474="Car or van",SUMIFS($E$6:E474,$D$6:D474,"Car or van"),"")</f>
      </c>
      <c r="G474" s="18">
        <f>IF(E474="","",IF(D474="Car or van",(MIN(F474,MileageCarThreshold)-MIN(F474-E474,MileageCarThreshold))*MileageCarFirst+(MAX(F474-MileageCarThreshold,0)-MAX(F474-E474-MileageCarThreshold,0))*MileageCarAfter,IF(D474="Motorcycle",E474*MileageMotorcycle,IF(D474="Bicycle",E474*MileageBicycle,0))))</f>
      </c>
    </row>
    <row r="475" spans="1:7" x14ac:dyDescent="0.25">
      <c r="A475" s="7"/>
      <c r="B475" s="10"/>
      <c r="C475" s="10"/>
      <c r="D475" s="10"/>
      <c r="E475" s="14"/>
      <c r="F475" s="19">
        <f>IF(D475="Car or van",SUMIFS($E$6:E475,$D$6:D475,"Car or van"),"")</f>
      </c>
      <c r="G475" s="18">
        <f>IF(E475="","",IF(D475="Car or van",(MIN(F475,MileageCarThreshold)-MIN(F475-E475,MileageCarThreshold))*MileageCarFirst+(MAX(F475-MileageCarThreshold,0)-MAX(F475-E475-MileageCarThreshold,0))*MileageCarAfter,IF(D475="Motorcycle",E475*MileageMotorcycle,IF(D475="Bicycle",E475*MileageBicycle,0))))</f>
      </c>
    </row>
    <row r="476" spans="1:7" x14ac:dyDescent="0.25">
      <c r="A476" s="7"/>
      <c r="B476" s="10"/>
      <c r="C476" s="10"/>
      <c r="D476" s="10"/>
      <c r="E476" s="14"/>
      <c r="F476" s="19">
        <f>IF(D476="Car or van",SUMIFS($E$6:E476,$D$6:D476,"Car or van"),"")</f>
      </c>
      <c r="G476" s="18">
        <f>IF(E476="","",IF(D476="Car or van",(MIN(F476,MileageCarThreshold)-MIN(F476-E476,MileageCarThreshold))*MileageCarFirst+(MAX(F476-MileageCarThreshold,0)-MAX(F476-E476-MileageCarThreshold,0))*MileageCarAfter,IF(D476="Motorcycle",E476*MileageMotorcycle,IF(D476="Bicycle",E476*MileageBicycle,0))))</f>
      </c>
    </row>
    <row r="477" spans="1:7" x14ac:dyDescent="0.25">
      <c r="A477" s="7"/>
      <c r="B477" s="10"/>
      <c r="C477" s="10"/>
      <c r="D477" s="10"/>
      <c r="E477" s="14"/>
      <c r="F477" s="19">
        <f>IF(D477="Car or van",SUMIFS($E$6:E477,$D$6:D477,"Car or van"),"")</f>
      </c>
      <c r="G477" s="18">
        <f>IF(E477="","",IF(D477="Car or van",(MIN(F477,MileageCarThreshold)-MIN(F477-E477,MileageCarThreshold))*MileageCarFirst+(MAX(F477-MileageCarThreshold,0)-MAX(F477-E477-MileageCarThreshold,0))*MileageCarAfter,IF(D477="Motorcycle",E477*MileageMotorcycle,IF(D477="Bicycle",E477*MileageBicycle,0))))</f>
      </c>
    </row>
    <row r="478" spans="1:7" x14ac:dyDescent="0.25">
      <c r="A478" s="7"/>
      <c r="B478" s="10"/>
      <c r="C478" s="10"/>
      <c r="D478" s="10"/>
      <c r="E478" s="14"/>
      <c r="F478" s="19">
        <f>IF(D478="Car or van",SUMIFS($E$6:E478,$D$6:D478,"Car or van"),"")</f>
      </c>
      <c r="G478" s="18">
        <f>IF(E478="","",IF(D478="Car or van",(MIN(F478,MileageCarThreshold)-MIN(F478-E478,MileageCarThreshold))*MileageCarFirst+(MAX(F478-MileageCarThreshold,0)-MAX(F478-E478-MileageCarThreshold,0))*MileageCarAfter,IF(D478="Motorcycle",E478*MileageMotorcycle,IF(D478="Bicycle",E478*MileageBicycle,0))))</f>
      </c>
    </row>
    <row r="479" spans="1:7" x14ac:dyDescent="0.25">
      <c r="A479" s="7"/>
      <c r="B479" s="10"/>
      <c r="C479" s="10"/>
      <c r="D479" s="10"/>
      <c r="E479" s="14"/>
      <c r="F479" s="19">
        <f>IF(D479="Car or van",SUMIFS($E$6:E479,$D$6:D479,"Car or van"),"")</f>
      </c>
      <c r="G479" s="18">
        <f>IF(E479="","",IF(D479="Car or van",(MIN(F479,MileageCarThreshold)-MIN(F479-E479,MileageCarThreshold))*MileageCarFirst+(MAX(F479-MileageCarThreshold,0)-MAX(F479-E479-MileageCarThreshold,0))*MileageCarAfter,IF(D479="Motorcycle",E479*MileageMotorcycle,IF(D479="Bicycle",E479*MileageBicycle,0))))</f>
      </c>
    </row>
    <row r="480" spans="1:7" x14ac:dyDescent="0.25">
      <c r="A480" s="7"/>
      <c r="B480" s="10"/>
      <c r="C480" s="10"/>
      <c r="D480" s="10"/>
      <c r="E480" s="14"/>
      <c r="F480" s="19">
        <f>IF(D480="Car or van",SUMIFS($E$6:E480,$D$6:D480,"Car or van"),"")</f>
      </c>
      <c r="G480" s="18">
        <f>IF(E480="","",IF(D480="Car or van",(MIN(F480,MileageCarThreshold)-MIN(F480-E480,MileageCarThreshold))*MileageCarFirst+(MAX(F480-MileageCarThreshold,0)-MAX(F480-E480-MileageCarThreshold,0))*MileageCarAfter,IF(D480="Motorcycle",E480*MileageMotorcycle,IF(D480="Bicycle",E480*MileageBicycle,0))))</f>
      </c>
    </row>
    <row r="481" spans="1:7" x14ac:dyDescent="0.25">
      <c r="A481" s="7"/>
      <c r="B481" s="10"/>
      <c r="C481" s="10"/>
      <c r="D481" s="10"/>
      <c r="E481" s="14"/>
      <c r="F481" s="19">
        <f>IF(D481="Car or van",SUMIFS($E$6:E481,$D$6:D481,"Car or van"),"")</f>
      </c>
      <c r="G481" s="18">
        <f>IF(E481="","",IF(D481="Car or van",(MIN(F481,MileageCarThreshold)-MIN(F481-E481,MileageCarThreshold))*MileageCarFirst+(MAX(F481-MileageCarThreshold,0)-MAX(F481-E481-MileageCarThreshold,0))*MileageCarAfter,IF(D481="Motorcycle",E481*MileageMotorcycle,IF(D481="Bicycle",E481*MileageBicycle,0))))</f>
      </c>
    </row>
    <row r="482" spans="1:7" x14ac:dyDescent="0.25">
      <c r="A482" s="7"/>
      <c r="B482" s="10"/>
      <c r="C482" s="10"/>
      <c r="D482" s="10"/>
      <c r="E482" s="14"/>
      <c r="F482" s="19">
        <f>IF(D482="Car or van",SUMIFS($E$6:E482,$D$6:D482,"Car or van"),"")</f>
      </c>
      <c r="G482" s="18">
        <f>IF(E482="","",IF(D482="Car or van",(MIN(F482,MileageCarThreshold)-MIN(F482-E482,MileageCarThreshold))*MileageCarFirst+(MAX(F482-MileageCarThreshold,0)-MAX(F482-E482-MileageCarThreshold,0))*MileageCarAfter,IF(D482="Motorcycle",E482*MileageMotorcycle,IF(D482="Bicycle",E482*MileageBicycle,0))))</f>
      </c>
    </row>
    <row r="483" spans="1:7" x14ac:dyDescent="0.25">
      <c r="A483" s="7"/>
      <c r="B483" s="10"/>
      <c r="C483" s="10"/>
      <c r="D483" s="10"/>
      <c r="E483" s="14"/>
      <c r="F483" s="19">
        <f>IF(D483="Car or van",SUMIFS($E$6:E483,$D$6:D483,"Car or van"),"")</f>
      </c>
      <c r="G483" s="18">
        <f>IF(E483="","",IF(D483="Car or van",(MIN(F483,MileageCarThreshold)-MIN(F483-E483,MileageCarThreshold))*MileageCarFirst+(MAX(F483-MileageCarThreshold,0)-MAX(F483-E483-MileageCarThreshold,0))*MileageCarAfter,IF(D483="Motorcycle",E483*MileageMotorcycle,IF(D483="Bicycle",E483*MileageBicycle,0))))</f>
      </c>
    </row>
    <row r="484" spans="1:7" x14ac:dyDescent="0.25">
      <c r="A484" s="7"/>
      <c r="B484" s="10"/>
      <c r="C484" s="10"/>
      <c r="D484" s="10"/>
      <c r="E484" s="14"/>
      <c r="F484" s="19">
        <f>IF(D484="Car or van",SUMIFS($E$6:E484,$D$6:D484,"Car or van"),"")</f>
      </c>
      <c r="G484" s="18">
        <f>IF(E484="","",IF(D484="Car or van",(MIN(F484,MileageCarThreshold)-MIN(F484-E484,MileageCarThreshold))*MileageCarFirst+(MAX(F484-MileageCarThreshold,0)-MAX(F484-E484-MileageCarThreshold,0))*MileageCarAfter,IF(D484="Motorcycle",E484*MileageMotorcycle,IF(D484="Bicycle",E484*MileageBicycle,0))))</f>
      </c>
    </row>
    <row r="485" spans="1:7" x14ac:dyDescent="0.25">
      <c r="A485" s="7"/>
      <c r="B485" s="10"/>
      <c r="C485" s="10"/>
      <c r="D485" s="10"/>
      <c r="E485" s="14"/>
      <c r="F485" s="19">
        <f>IF(D485="Car or van",SUMIFS($E$6:E485,$D$6:D485,"Car or van"),"")</f>
      </c>
      <c r="G485" s="18">
        <f>IF(E485="","",IF(D485="Car or van",(MIN(F485,MileageCarThreshold)-MIN(F485-E485,MileageCarThreshold))*MileageCarFirst+(MAX(F485-MileageCarThreshold,0)-MAX(F485-E485-MileageCarThreshold,0))*MileageCarAfter,IF(D485="Motorcycle",E485*MileageMotorcycle,IF(D485="Bicycle",E485*MileageBicycle,0))))</f>
      </c>
    </row>
    <row r="486" spans="1:7" x14ac:dyDescent="0.25">
      <c r="A486" s="7"/>
      <c r="B486" s="10"/>
      <c r="C486" s="10"/>
      <c r="D486" s="10"/>
      <c r="E486" s="14"/>
      <c r="F486" s="19">
        <f>IF(D486="Car or van",SUMIFS($E$6:E486,$D$6:D486,"Car or van"),"")</f>
      </c>
      <c r="G486" s="18">
        <f>IF(E486="","",IF(D486="Car or van",(MIN(F486,MileageCarThreshold)-MIN(F486-E486,MileageCarThreshold))*MileageCarFirst+(MAX(F486-MileageCarThreshold,0)-MAX(F486-E486-MileageCarThreshold,0))*MileageCarAfter,IF(D486="Motorcycle",E486*MileageMotorcycle,IF(D486="Bicycle",E486*MileageBicycle,0))))</f>
      </c>
    </row>
    <row r="487" spans="1:7" x14ac:dyDescent="0.25">
      <c r="A487" s="7"/>
      <c r="B487" s="10"/>
      <c r="C487" s="10"/>
      <c r="D487" s="10"/>
      <c r="E487" s="14"/>
      <c r="F487" s="19">
        <f>IF(D487="Car or van",SUMIFS($E$6:E487,$D$6:D487,"Car or van"),"")</f>
      </c>
      <c r="G487" s="18">
        <f>IF(E487="","",IF(D487="Car or van",(MIN(F487,MileageCarThreshold)-MIN(F487-E487,MileageCarThreshold))*MileageCarFirst+(MAX(F487-MileageCarThreshold,0)-MAX(F487-E487-MileageCarThreshold,0))*MileageCarAfter,IF(D487="Motorcycle",E487*MileageMotorcycle,IF(D487="Bicycle",E487*MileageBicycle,0))))</f>
      </c>
    </row>
    <row r="488" spans="1:7" x14ac:dyDescent="0.25">
      <c r="A488" s="7"/>
      <c r="B488" s="10"/>
      <c r="C488" s="10"/>
      <c r="D488" s="10"/>
      <c r="E488" s="14"/>
      <c r="F488" s="19">
        <f>IF(D488="Car or van",SUMIFS($E$6:E488,$D$6:D488,"Car or van"),"")</f>
      </c>
      <c r="G488" s="18">
        <f>IF(E488="","",IF(D488="Car or van",(MIN(F488,MileageCarThreshold)-MIN(F488-E488,MileageCarThreshold))*MileageCarFirst+(MAX(F488-MileageCarThreshold,0)-MAX(F488-E488-MileageCarThreshold,0))*MileageCarAfter,IF(D488="Motorcycle",E488*MileageMotorcycle,IF(D488="Bicycle",E488*MileageBicycle,0))))</f>
      </c>
    </row>
    <row r="489" spans="1:7" x14ac:dyDescent="0.25">
      <c r="A489" s="7"/>
      <c r="B489" s="10"/>
      <c r="C489" s="10"/>
      <c r="D489" s="10"/>
      <c r="E489" s="14"/>
      <c r="F489" s="19">
        <f>IF(D489="Car or van",SUMIFS($E$6:E489,$D$6:D489,"Car or van"),"")</f>
      </c>
      <c r="G489" s="18">
        <f>IF(E489="","",IF(D489="Car or van",(MIN(F489,MileageCarThreshold)-MIN(F489-E489,MileageCarThreshold))*MileageCarFirst+(MAX(F489-MileageCarThreshold,0)-MAX(F489-E489-MileageCarThreshold,0))*MileageCarAfter,IF(D489="Motorcycle",E489*MileageMotorcycle,IF(D489="Bicycle",E489*MileageBicycle,0))))</f>
      </c>
    </row>
    <row r="490" spans="1:7" x14ac:dyDescent="0.25">
      <c r="A490" s="7"/>
      <c r="B490" s="10"/>
      <c r="C490" s="10"/>
      <c r="D490" s="10"/>
      <c r="E490" s="14"/>
      <c r="F490" s="19">
        <f>IF(D490="Car or van",SUMIFS($E$6:E490,$D$6:D490,"Car or van"),"")</f>
      </c>
      <c r="G490" s="18">
        <f>IF(E490="","",IF(D490="Car or van",(MIN(F490,MileageCarThreshold)-MIN(F490-E490,MileageCarThreshold))*MileageCarFirst+(MAX(F490-MileageCarThreshold,0)-MAX(F490-E490-MileageCarThreshold,0))*MileageCarAfter,IF(D490="Motorcycle",E490*MileageMotorcycle,IF(D490="Bicycle",E490*MileageBicycle,0))))</f>
      </c>
    </row>
    <row r="491" spans="1:7" x14ac:dyDescent="0.25">
      <c r="A491" s="7"/>
      <c r="B491" s="10"/>
      <c r="C491" s="10"/>
      <c r="D491" s="10"/>
      <c r="E491" s="14"/>
      <c r="F491" s="19">
        <f>IF(D491="Car or van",SUMIFS($E$6:E491,$D$6:D491,"Car or van"),"")</f>
      </c>
      <c r="G491" s="18">
        <f>IF(E491="","",IF(D491="Car or van",(MIN(F491,MileageCarThreshold)-MIN(F491-E491,MileageCarThreshold))*MileageCarFirst+(MAX(F491-MileageCarThreshold,0)-MAX(F491-E491-MileageCarThreshold,0))*MileageCarAfter,IF(D491="Motorcycle",E491*MileageMotorcycle,IF(D491="Bicycle",E491*MileageBicycle,0))))</f>
      </c>
    </row>
    <row r="492" spans="1:7" x14ac:dyDescent="0.25">
      <c r="A492" s="7"/>
      <c r="B492" s="10"/>
      <c r="C492" s="10"/>
      <c r="D492" s="10"/>
      <c r="E492" s="14"/>
      <c r="F492" s="19">
        <f>IF(D492="Car or van",SUMIFS($E$6:E492,$D$6:D492,"Car or van"),"")</f>
      </c>
      <c r="G492" s="18">
        <f>IF(E492="","",IF(D492="Car or van",(MIN(F492,MileageCarThreshold)-MIN(F492-E492,MileageCarThreshold))*MileageCarFirst+(MAX(F492-MileageCarThreshold,0)-MAX(F492-E492-MileageCarThreshold,0))*MileageCarAfter,IF(D492="Motorcycle",E492*MileageMotorcycle,IF(D492="Bicycle",E492*MileageBicycle,0))))</f>
      </c>
    </row>
    <row r="493" spans="1:7" x14ac:dyDescent="0.25">
      <c r="A493" s="7"/>
      <c r="B493" s="10"/>
      <c r="C493" s="10"/>
      <c r="D493" s="10"/>
      <c r="E493" s="14"/>
      <c r="F493" s="19">
        <f>IF(D493="Car or van",SUMIFS($E$6:E493,$D$6:D493,"Car or van"),"")</f>
      </c>
      <c r="G493" s="18">
        <f>IF(E493="","",IF(D493="Car or van",(MIN(F493,MileageCarThreshold)-MIN(F493-E493,MileageCarThreshold))*MileageCarFirst+(MAX(F493-MileageCarThreshold,0)-MAX(F493-E493-MileageCarThreshold,0))*MileageCarAfter,IF(D493="Motorcycle",E493*MileageMotorcycle,IF(D493="Bicycle",E493*MileageBicycle,0))))</f>
      </c>
    </row>
    <row r="494" spans="1:7" x14ac:dyDescent="0.25">
      <c r="A494" s="7"/>
      <c r="B494" s="10"/>
      <c r="C494" s="10"/>
      <c r="D494" s="10"/>
      <c r="E494" s="14"/>
      <c r="F494" s="19">
        <f>IF(D494="Car or van",SUMIFS($E$6:E494,$D$6:D494,"Car or van"),"")</f>
      </c>
      <c r="G494" s="18">
        <f>IF(E494="","",IF(D494="Car or van",(MIN(F494,MileageCarThreshold)-MIN(F494-E494,MileageCarThreshold))*MileageCarFirst+(MAX(F494-MileageCarThreshold,0)-MAX(F494-E494-MileageCarThreshold,0))*MileageCarAfter,IF(D494="Motorcycle",E494*MileageMotorcycle,IF(D494="Bicycle",E494*MileageBicycle,0))))</f>
      </c>
    </row>
    <row r="495" spans="1:7" x14ac:dyDescent="0.25">
      <c r="A495" s="7"/>
      <c r="B495" s="10"/>
      <c r="C495" s="10"/>
      <c r="D495" s="10"/>
      <c r="E495" s="14"/>
      <c r="F495" s="19">
        <f>IF(D495="Car or van",SUMIFS($E$6:E495,$D$6:D495,"Car or van"),"")</f>
      </c>
      <c r="G495" s="18">
        <f>IF(E495="","",IF(D495="Car or van",(MIN(F495,MileageCarThreshold)-MIN(F495-E495,MileageCarThreshold))*MileageCarFirst+(MAX(F495-MileageCarThreshold,0)-MAX(F495-E495-MileageCarThreshold,0))*MileageCarAfter,IF(D495="Motorcycle",E495*MileageMotorcycle,IF(D495="Bicycle",E495*MileageBicycle,0))))</f>
      </c>
    </row>
    <row r="496" spans="1:7" x14ac:dyDescent="0.25">
      <c r="A496" s="7"/>
      <c r="B496" s="10"/>
      <c r="C496" s="10"/>
      <c r="D496" s="10"/>
      <c r="E496" s="14"/>
      <c r="F496" s="19">
        <f>IF(D496="Car or van",SUMIFS($E$6:E496,$D$6:D496,"Car or van"),"")</f>
      </c>
      <c r="G496" s="18">
        <f>IF(E496="","",IF(D496="Car or van",(MIN(F496,MileageCarThreshold)-MIN(F496-E496,MileageCarThreshold))*MileageCarFirst+(MAX(F496-MileageCarThreshold,0)-MAX(F496-E496-MileageCarThreshold,0))*MileageCarAfter,IF(D496="Motorcycle",E496*MileageMotorcycle,IF(D496="Bicycle",E496*MileageBicycle,0))))</f>
      </c>
    </row>
    <row r="497" spans="1:7" x14ac:dyDescent="0.25">
      <c r="A497" s="7"/>
      <c r="B497" s="10"/>
      <c r="C497" s="10"/>
      <c r="D497" s="10"/>
      <c r="E497" s="14"/>
      <c r="F497" s="19">
        <f>IF(D497="Car or van",SUMIFS($E$6:E497,$D$6:D497,"Car or van"),"")</f>
      </c>
      <c r="G497" s="18">
        <f>IF(E497="","",IF(D497="Car or van",(MIN(F497,MileageCarThreshold)-MIN(F497-E497,MileageCarThreshold))*MileageCarFirst+(MAX(F497-MileageCarThreshold,0)-MAX(F497-E497-MileageCarThreshold,0))*MileageCarAfter,IF(D497="Motorcycle",E497*MileageMotorcycle,IF(D497="Bicycle",E497*MileageBicycle,0))))</f>
      </c>
    </row>
    <row r="498" spans="1:7" x14ac:dyDescent="0.25">
      <c r="A498" s="7"/>
      <c r="B498" s="10"/>
      <c r="C498" s="10"/>
      <c r="D498" s="10"/>
      <c r="E498" s="14"/>
      <c r="F498" s="19">
        <f>IF(D498="Car or van",SUMIFS($E$6:E498,$D$6:D498,"Car or van"),"")</f>
      </c>
      <c r="G498" s="18">
        <f>IF(E498="","",IF(D498="Car or van",(MIN(F498,MileageCarThreshold)-MIN(F498-E498,MileageCarThreshold))*MileageCarFirst+(MAX(F498-MileageCarThreshold,0)-MAX(F498-E498-MileageCarThreshold,0))*MileageCarAfter,IF(D498="Motorcycle",E498*MileageMotorcycle,IF(D498="Bicycle",E498*MileageBicycle,0))))</f>
      </c>
    </row>
    <row r="499" spans="1:7" x14ac:dyDescent="0.25">
      <c r="A499" s="7"/>
      <c r="B499" s="10"/>
      <c r="C499" s="10"/>
      <c r="D499" s="10"/>
      <c r="E499" s="14"/>
      <c r="F499" s="19">
        <f>IF(D499="Car or van",SUMIFS($E$6:E499,$D$6:D499,"Car or van"),"")</f>
      </c>
      <c r="G499" s="18">
        <f>IF(E499="","",IF(D499="Car or van",(MIN(F499,MileageCarThreshold)-MIN(F499-E499,MileageCarThreshold))*MileageCarFirst+(MAX(F499-MileageCarThreshold,0)-MAX(F499-E499-MileageCarThreshold,0))*MileageCarAfter,IF(D499="Motorcycle",E499*MileageMotorcycle,IF(D499="Bicycle",E499*MileageBicycle,0))))</f>
      </c>
    </row>
    <row r="500" spans="1:7" x14ac:dyDescent="0.25">
      <c r="A500" s="7"/>
      <c r="B500" s="10"/>
      <c r="C500" s="10"/>
      <c r="D500" s="10"/>
      <c r="E500" s="14"/>
      <c r="F500" s="19">
        <f>IF(D500="Car or van",SUMIFS($E$6:E500,$D$6:D500,"Car or van"),"")</f>
      </c>
      <c r="G500" s="18">
        <f>IF(E500="","",IF(D500="Car or van",(MIN(F500,MileageCarThreshold)-MIN(F500-E500,MileageCarThreshold))*MileageCarFirst+(MAX(F500-MileageCarThreshold,0)-MAX(F500-E500-MileageCarThreshold,0))*MileageCarAfter,IF(D500="Motorcycle",E500*MileageMotorcycle,IF(D500="Bicycle",E500*MileageBicycle,0))))</f>
      </c>
    </row>
    <row r="501" spans="1:7" x14ac:dyDescent="0.25">
      <c r="A501" s="7"/>
      <c r="B501" s="10"/>
      <c r="C501" s="10"/>
      <c r="D501" s="10"/>
      <c r="E501" s="14"/>
      <c r="F501" s="19">
        <f>IF(D501="Car or van",SUMIFS($E$6:E501,$D$6:D501,"Car or van"),"")</f>
      </c>
      <c r="G501" s="18">
        <f>IF(E501="","",IF(D501="Car or van",(MIN(F501,MileageCarThreshold)-MIN(F501-E501,MileageCarThreshold))*MileageCarFirst+(MAX(F501-MileageCarThreshold,0)-MAX(F501-E501-MileageCarThreshold,0))*MileageCarAfter,IF(D501="Motorcycle",E501*MileageMotorcycle,IF(D501="Bicycle",E501*MileageBicycle,0))))</f>
      </c>
    </row>
    <row r="502" spans="1:7" x14ac:dyDescent="0.25">
      <c r="A502" s="7"/>
      <c r="B502" s="10"/>
      <c r="C502" s="10"/>
      <c r="D502" s="10"/>
      <c r="E502" s="14"/>
      <c r="F502" s="19">
        <f>IF(D502="Car or van",SUMIFS($E$6:E502,$D$6:D502,"Car or van"),"")</f>
      </c>
      <c r="G502" s="18">
        <f>IF(E502="","",IF(D502="Car or van",(MIN(F502,MileageCarThreshold)-MIN(F502-E502,MileageCarThreshold))*MileageCarFirst+(MAX(F502-MileageCarThreshold,0)-MAX(F502-E502-MileageCarThreshold,0))*MileageCarAfter,IF(D502="Motorcycle",E502*MileageMotorcycle,IF(D502="Bicycle",E502*MileageBicycle,0))))</f>
      </c>
    </row>
    <row r="503" spans="1:7" x14ac:dyDescent="0.25">
      <c r="A503" s="7"/>
      <c r="B503" s="10"/>
      <c r="C503" s="10"/>
      <c r="D503" s="10"/>
      <c r="E503" s="14"/>
      <c r="F503" s="19">
        <f>IF(D503="Car or van",SUMIFS($E$6:E503,$D$6:D503,"Car or van"),"")</f>
      </c>
      <c r="G503" s="18">
        <f>IF(E503="","",IF(D503="Car or van",(MIN(F503,MileageCarThreshold)-MIN(F503-E503,MileageCarThreshold))*MileageCarFirst+(MAX(F503-MileageCarThreshold,0)-MAX(F503-E503-MileageCarThreshold,0))*MileageCarAfter,IF(D503="Motorcycle",E503*MileageMotorcycle,IF(D503="Bicycle",E503*MileageBicycle,0))))</f>
      </c>
    </row>
    <row r="504" spans="1:7" x14ac:dyDescent="0.25">
      <c r="A504" s="7"/>
      <c r="B504" s="10"/>
      <c r="C504" s="10"/>
      <c r="D504" s="10"/>
      <c r="E504" s="14"/>
      <c r="F504" s="19">
        <f>IF(D504="Car or van",SUMIFS($E$6:E504,$D$6:D504,"Car or van"),"")</f>
      </c>
      <c r="G504" s="18">
        <f>IF(E504="","",IF(D504="Car or van",(MIN(F504,MileageCarThreshold)-MIN(F504-E504,MileageCarThreshold))*MileageCarFirst+(MAX(F504-MileageCarThreshold,0)-MAX(F504-E504-MileageCarThreshold,0))*MileageCarAfter,IF(D504="Motorcycle",E504*MileageMotorcycle,IF(D504="Bicycle",E504*MileageBicycle,0))))</f>
      </c>
    </row>
    <row r="505" spans="1:7" x14ac:dyDescent="0.25">
      <c r="A505" s="7"/>
      <c r="B505" s="10"/>
      <c r="C505" s="10"/>
      <c r="D505" s="10"/>
      <c r="E505" s="14"/>
      <c r="F505" s="19">
        <f>IF(D505="Car or van",SUMIFS($E$6:E505,$D$6:D505,"Car or van"),"")</f>
      </c>
      <c r="G505" s="18">
        <f>IF(E505="","",IF(D505="Car or van",(MIN(F505,MileageCarThreshold)-MIN(F505-E505,MileageCarThreshold))*MileageCarFirst+(MAX(F505-MileageCarThreshold,0)-MAX(F505-E505-MileageCarThreshold,0))*MileageCarAfter,IF(D505="Motorcycle",E505*MileageMotorcycle,IF(D505="Bicycle",E505*MileageBicycle,0))))</f>
      </c>
    </row>
  </sheetData>
  <mergeCells count="1">
    <mergeCell ref="A2:G2"/>
  </mergeCells>
  <dataValidations count="1">
    <dataValidation type="list" allowBlank="1" showErrorMessage="1" errorTitle="Pick from the list" error="Choose one of the options in the drop-down (set on the Setup tab)." sqref="D6:D505">
      <formula1>VehicleTypes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A5F"/>
  </sheetPr>
  <dimension ref="A1:J14"/>
  <sheetFormatPr defaultRowHeight="15" outlineLevelRow="0" outlineLevelCol="0" x14ac:dyDescent="55"/>
  <cols>
    <col min="1" max="1" width="10" customWidth="1"/>
    <col min="2" max="3" width="13" customWidth="1"/>
    <col min="4" max="7" width="14" customWidth="1"/>
    <col min="8" max="9" width="16" customWidth="1"/>
    <col min="10" max="10" width="14" customWidth="1"/>
  </cols>
  <sheetData>
    <row r="1" ht="24" customHeight="1" spans="1:1" x14ac:dyDescent="0.25">
      <c r="A1" s="1" t="s">
        <v>140</v>
      </c>
    </row>
    <row r="2" ht="28" customHeight="1" spans="1:10" x14ac:dyDescent="0.25">
      <c r="A2" s="2" t="s">
        <v>141</v>
      </c>
      <c r="B2" s="2"/>
      <c r="C2" s="2"/>
      <c r="D2" s="2"/>
      <c r="E2" s="2"/>
      <c r="F2" s="2"/>
      <c r="G2" s="2"/>
      <c r="H2" s="2"/>
      <c r="I2" s="2"/>
      <c r="J2" s="2"/>
    </row>
    <row r="5" ht="30" customHeight="1" spans="1:10" x14ac:dyDescent="0.25">
      <c r="A5" s="5" t="s">
        <v>142</v>
      </c>
      <c r="B5" s="5" t="s">
        <v>143</v>
      </c>
      <c r="C5" s="5" t="s">
        <v>144</v>
      </c>
      <c r="D5" s="5" t="s">
        <v>145</v>
      </c>
      <c r="E5" s="5" t="s">
        <v>146</v>
      </c>
      <c r="F5" s="5" t="s">
        <v>147</v>
      </c>
      <c r="G5" s="5" t="s">
        <v>148</v>
      </c>
      <c r="H5" s="5" t="s">
        <v>149</v>
      </c>
      <c r="I5" s="5" t="s">
        <v>150</v>
      </c>
      <c r="J5" s="5" t="s">
        <v>151</v>
      </c>
    </row>
    <row r="6" spans="1:10" x14ac:dyDescent="0.25">
      <c r="A6" s="20" t="s">
        <v>152</v>
      </c>
      <c r="B6" s="9">
        <f>IF(QuarterBasis="Standard (6 April quarters)",EDATE(TaxYearStart,0),DATE(YEAR(TaxYearStart),4,1))</f>
      </c>
      <c r="C6" s="9">
        <f>IF(QuarterBasis="Standard (6 April quarters)",EDATE(TaxYearStart,3)-1,EOMONTH(DATE(YEAR(TaxYearStart),4,1),2))</f>
      </c>
      <c r="D6" s="18">
        <f>SUMIFS(IncomeAmounts,IncomeDates,"&gt;="&amp;B6,IncomeDates,"&lt;="&amp;C6)</f>
      </c>
      <c r="E6" s="18">
        <f>SUMIFS(ExpenseAllowable,ExpenseDates,"&gt;="&amp;B6,ExpenseDates,"&lt;="&amp;C6)</f>
      </c>
      <c r="F6" s="18">
        <f>SUMIFS(MileageClaims,MileageDates,"&gt;="&amp;B6,MileageDates,"&lt;="&amp;C6)</f>
      </c>
      <c r="G6" s="18">
        <f>D6-E6-F6</f>
      </c>
      <c r="H6" s="18">
        <f>SUM($D$6:D6)</f>
      </c>
      <c r="I6" s="18">
        <f>SUM($G$6:G6)</f>
      </c>
      <c r="J6" s="9">
        <f>DATE(YEAR(EDATE(TaxYearStart,3)),MONTH(EDATE(TaxYearStart,3))+1,7)</f>
      </c>
    </row>
    <row r="7" spans="1:10" x14ac:dyDescent="0.25">
      <c r="A7" s="20" t="s">
        <v>153</v>
      </c>
      <c r="B7" s="9">
        <f>IF(QuarterBasis="Standard (6 April quarters)",EDATE(TaxYearStart,3),DATE(YEAR(TaxYearStart),7,1))</f>
      </c>
      <c r="C7" s="9">
        <f>IF(QuarterBasis="Standard (6 April quarters)",EDATE(TaxYearStart,6)-1,EOMONTH(DATE(YEAR(TaxYearStart),7,1),2))</f>
      </c>
      <c r="D7" s="18">
        <f>SUMIFS(IncomeAmounts,IncomeDates,"&gt;="&amp;B7,IncomeDates,"&lt;="&amp;C7)</f>
      </c>
      <c r="E7" s="18">
        <f>SUMIFS(ExpenseAllowable,ExpenseDates,"&gt;="&amp;B7,ExpenseDates,"&lt;="&amp;C7)</f>
      </c>
      <c r="F7" s="18">
        <f>SUMIFS(MileageClaims,MileageDates,"&gt;="&amp;B7,MileageDates,"&lt;="&amp;C7)</f>
      </c>
      <c r="G7" s="18">
        <f>D7-E7-F7</f>
      </c>
      <c r="H7" s="18">
        <f>SUM($D$6:D7)</f>
      </c>
      <c r="I7" s="18">
        <f>SUM($G$6:G7)</f>
      </c>
      <c r="J7" s="9">
        <f>DATE(YEAR(EDATE(TaxYearStart,6)),MONTH(EDATE(TaxYearStart,6))+1,7)</f>
      </c>
    </row>
    <row r="8" spans="1:10" x14ac:dyDescent="0.25">
      <c r="A8" s="20" t="s">
        <v>154</v>
      </c>
      <c r="B8" s="9">
        <f>IF(QuarterBasis="Standard (6 April quarters)",EDATE(TaxYearStart,6),DATE(YEAR(TaxYearStart),10,1))</f>
      </c>
      <c r="C8" s="9">
        <f>IF(QuarterBasis="Standard (6 April quarters)",EDATE(TaxYearStart,9)-1,EOMONTH(DATE(YEAR(TaxYearStart),10,1),2))</f>
      </c>
      <c r="D8" s="18">
        <f>SUMIFS(IncomeAmounts,IncomeDates,"&gt;="&amp;B8,IncomeDates,"&lt;="&amp;C8)</f>
      </c>
      <c r="E8" s="18">
        <f>SUMIFS(ExpenseAllowable,ExpenseDates,"&gt;="&amp;B8,ExpenseDates,"&lt;="&amp;C8)</f>
      </c>
      <c r="F8" s="18">
        <f>SUMIFS(MileageClaims,MileageDates,"&gt;="&amp;B8,MileageDates,"&lt;="&amp;C8)</f>
      </c>
      <c r="G8" s="18">
        <f>D8-E8-F8</f>
      </c>
      <c r="H8" s="18">
        <f>SUM($D$6:D8)</f>
      </c>
      <c r="I8" s="18">
        <f>SUM($G$6:G8)</f>
      </c>
      <c r="J8" s="9">
        <f>DATE(YEAR(EDATE(TaxYearStart,9)),MONTH(EDATE(TaxYearStart,9))+1,7)</f>
      </c>
    </row>
    <row r="9" spans="1:10" x14ac:dyDescent="0.25">
      <c r="A9" s="20" t="s">
        <v>155</v>
      </c>
      <c r="B9" s="9">
        <f>IF(QuarterBasis="Standard (6 April quarters)",EDATE(TaxYearStart,9),DATE(YEAR(TaxYearStart),13,1))</f>
      </c>
      <c r="C9" s="9">
        <f>IF(QuarterBasis="Standard (6 April quarters)",EDATE(TaxYearStart,12)-1,EOMONTH(DATE(YEAR(TaxYearStart),13,1),2))</f>
      </c>
      <c r="D9" s="18">
        <f>SUMIFS(IncomeAmounts,IncomeDates,"&gt;="&amp;B9,IncomeDates,"&lt;="&amp;C9)</f>
      </c>
      <c r="E9" s="18">
        <f>SUMIFS(ExpenseAllowable,ExpenseDates,"&gt;="&amp;B9,ExpenseDates,"&lt;="&amp;C9)</f>
      </c>
      <c r="F9" s="18">
        <f>SUMIFS(MileageClaims,MileageDates,"&gt;="&amp;B9,MileageDates,"&lt;="&amp;C9)</f>
      </c>
      <c r="G9" s="18">
        <f>D9-E9-F9</f>
      </c>
      <c r="H9" s="18">
        <f>SUM($D$6:D9)</f>
      </c>
      <c r="I9" s="18">
        <f>SUM($G$6:G9)</f>
      </c>
      <c r="J9" s="9">
        <f>DATE(YEAR(EDATE(TaxYearStart,12)),MONTH(EDATE(TaxYearStart,12))+1,7)</f>
      </c>
    </row>
    <row r="10" spans="1:7" x14ac:dyDescent="0.25">
      <c r="A10" s="20" t="s">
        <v>156</v>
      </c>
      <c r="D10" s="16">
        <f>SUM(D6:D9)</f>
      </c>
      <c r="E10" s="16">
        <f>SUM(E6:E9)</f>
      </c>
      <c r="F10" s="16">
        <f>SUM(F6:F9)</f>
      </c>
      <c r="G10" s="16">
        <f>SUM(G6:G9)</f>
      </c>
    </row>
    <row r="12" ht="32" customHeight="1" spans="1:10" x14ac:dyDescent="0.25">
      <c r="A12" s="20" t="s">
        <v>157</v>
      </c>
      <c r="D12" s="21">
        <f>IF(Turnover+OtherIncome&gt;MTDThreshold,"Yes — your business income is over "&amp;TEXT(MTDThreshold,"£#,##0")&amp;": keep digital records and send quarterly updates.","Not yet on this year's income (threshold "&amp;TEXT(MTDThreshold,"£#,##0")&amp;"); it falls to £30,000 in April 2027 and £20,000 in April 2028.")</f>
      </c>
      <c r="E12" s="21"/>
      <c r="F12" s="21"/>
      <c r="G12" s="21"/>
      <c r="H12" s="21"/>
      <c r="I12" s="21"/>
      <c r="J12" s="21"/>
    </row>
    <row r="14" ht="40" customHeight="1" spans="1:10" x14ac:dyDescent="0.25">
      <c r="A14" s="8" t="s">
        <v>158</v>
      </c>
      <c r="B14" s="8"/>
      <c r="C14" s="8"/>
      <c r="D14" s="8"/>
      <c r="E14" s="8"/>
      <c r="F14" s="8"/>
      <c r="G14" s="8"/>
      <c r="H14" s="8"/>
      <c r="I14" s="8"/>
      <c r="J14" s="8"/>
    </row>
  </sheetData>
  <mergeCells count="3">
    <mergeCell ref="A2:J2"/>
    <mergeCell ref="D12:J12"/>
    <mergeCell ref="A14:J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A5F"/>
  </sheetPr>
  <dimension ref="A1:C14"/>
  <sheetFormatPr defaultRowHeight="15" outlineLevelRow="0" outlineLevelCol="0" x14ac:dyDescent="55"/>
  <cols>
    <col min="1" max="1" width="52" customWidth="1"/>
    <col min="2" max="2" width="18" customWidth="1"/>
    <col min="3" max="3" width="80" customWidth="1"/>
  </cols>
  <sheetData>
    <row r="1" ht="24" customHeight="1" spans="1:1" x14ac:dyDescent="0.25">
      <c r="A1" s="1" t="s">
        <v>159</v>
      </c>
    </row>
    <row r="2" ht="28" customHeight="1" spans="1:3" x14ac:dyDescent="0.25">
      <c r="A2" s="2" t="s">
        <v>160</v>
      </c>
      <c r="B2" s="2"/>
      <c r="C2" s="2"/>
    </row>
    <row r="4" ht="30" customHeight="1" spans="1:3" x14ac:dyDescent="0.25">
      <c r="A4" s="5" t="s">
        <v>161</v>
      </c>
      <c r="B4" s="5" t="s">
        <v>162</v>
      </c>
      <c r="C4" s="5" t="s">
        <v>163</v>
      </c>
    </row>
    <row r="5" spans="1:3" x14ac:dyDescent="0.25">
      <c r="A5" s="6" t="s">
        <v>164</v>
      </c>
      <c r="B5" s="18">
        <f>Turnover+OtherIncome</f>
      </c>
      <c r="C5" s="8" t="s">
        <v>165</v>
      </c>
    </row>
    <row r="6" spans="1:3" x14ac:dyDescent="0.25">
      <c r="A6" s="6" t="s">
        <v>166</v>
      </c>
      <c r="B6" s="18">
        <f>TotalExpenses+SUMIFS(ExpenseAllowable,ExpenseCategoryCol,"Capital item (annual investment allowance, box 23)")</f>
      </c>
      <c r="C6" s="8" t="s">
        <v>167</v>
      </c>
    </row>
    <row r="7" spans="1:3" x14ac:dyDescent="0.25">
      <c r="A7" s="6" t="s">
        <v>168</v>
      </c>
      <c r="B7" s="18">
        <f>MIN(TradingAllowance,B5)</f>
      </c>
      <c r="C7" s="8" t="s">
        <v>169</v>
      </c>
    </row>
    <row r="8" spans="1:3" x14ac:dyDescent="0.25">
      <c r="A8" s="6" t="s">
        <v>170</v>
      </c>
      <c r="B8" s="18">
        <f>B5-B6</f>
      </c>
      <c r="C8" s="8" t="s">
        <v>171</v>
      </c>
    </row>
    <row r="9" spans="1:3" x14ac:dyDescent="0.25">
      <c r="A9" s="6" t="s">
        <v>172</v>
      </c>
      <c r="B9" s="18">
        <f>B5-B7</f>
      </c>
      <c r="C9" s="8" t="s">
        <v>4</v>
      </c>
    </row>
    <row r="10" spans="1:3" x14ac:dyDescent="0.25">
      <c r="A10" s="6" t="s">
        <v>173</v>
      </c>
      <c r="B10" s="22">
        <f>IF(B5&lt;=TradingAllowance,"Trading Allowance — income is within it, nothing to pay on this business",IF(B6&lt;B7,"Trading Allowance (lower profit)","Actual expenses (lower profit)"))</f>
      </c>
      <c r="C10" s="8" t="s">
        <v>174</v>
      </c>
    </row>
    <row r="11" spans="1:3" x14ac:dyDescent="0.25">
      <c r="A11" s="6" t="s">
        <v>175</v>
      </c>
      <c r="B11" s="23">
        <f>IF(ProfitMethod="Actual expenses","Actual expenses",IF(ProfitMethod="Trading allowance","Trading Allowance",IF(B6&lt;B7,"Trading Allowance","Actual expenses")))</f>
      </c>
      <c r="C11" s="8" t="s">
        <v>176</v>
      </c>
    </row>
    <row r="12" spans="1:3" x14ac:dyDescent="0.25">
      <c r="A12" s="6" t="s">
        <v>177</v>
      </c>
      <c r="B12" s="24">
        <f>IF(B11="Trading Allowance",1,0)</f>
      </c>
      <c r="C12" s="8" t="s">
        <v>178</v>
      </c>
    </row>
    <row r="14" ht="44" customHeight="1" spans="1:3" x14ac:dyDescent="0.25">
      <c r="A14" s="8" t="s">
        <v>179</v>
      </c>
      <c r="B14" s="8"/>
      <c r="C14" s="8"/>
    </row>
  </sheetData>
  <mergeCells count="2">
    <mergeCell ref="A2:C2"/>
    <mergeCell ref="A14:C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A5F"/>
  </sheetPr>
  <dimension ref="A1:D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8" customWidth="1"/>
    <col min="3" max="3" width="18" customWidth="1"/>
    <col min="4" max="4" width="60" customWidth="1"/>
  </cols>
  <sheetData>
    <row r="1" ht="24" customHeight="1" spans="1:1" x14ac:dyDescent="0.25">
      <c r="A1" s="1" t="s">
        <v>180</v>
      </c>
    </row>
    <row r="2" ht="28" customHeight="1" spans="1:4" x14ac:dyDescent="0.25">
      <c r="A2" s="2" t="s">
        <v>181</v>
      </c>
      <c r="B2" s="2"/>
      <c r="C2" s="2"/>
      <c r="D2" s="2"/>
    </row>
    <row r="4" ht="30" customHeight="1" spans="1:4" x14ac:dyDescent="0.25">
      <c r="A4" s="5" t="s">
        <v>182</v>
      </c>
      <c r="B4" s="5" t="s">
        <v>183</v>
      </c>
      <c r="C4" s="5" t="s">
        <v>162</v>
      </c>
      <c r="D4" s="5" t="s">
        <v>163</v>
      </c>
    </row>
    <row r="5" spans="1:4" x14ac:dyDescent="0.25">
      <c r="A5" s="25" t="s">
        <v>184</v>
      </c>
      <c r="B5" s="6" t="s">
        <v>185</v>
      </c>
      <c r="C5" s="18">
        <f>SUMIFS(IncomeAmounts,IncomeTypeCol,"Sales turnover (box 9)")</f>
      </c>
      <c r="D5" s="8" t="s">
        <v>186</v>
      </c>
    </row>
    <row r="6" spans="1:4" x14ac:dyDescent="0.25">
      <c r="A6" s="25" t="s">
        <v>187</v>
      </c>
      <c r="B6" s="6" t="s">
        <v>188</v>
      </c>
      <c r="C6" s="18">
        <f>SUMIFS(IncomeAmounts,IncomeTypeCol,"Other business income (box 10)")</f>
      </c>
      <c r="D6" s="8" t="s">
        <v>189</v>
      </c>
    </row>
    <row r="7" spans="1:4" x14ac:dyDescent="0.25">
      <c r="A7" s="25" t="s">
        <v>190</v>
      </c>
      <c r="B7" s="6" t="s">
        <v>191</v>
      </c>
      <c r="C7" s="18">
        <f>IF(UseAllowance=1,MIN(TradingAllowance,C5+C6),0)</f>
      </c>
      <c r="D7" s="8" t="s">
        <v>192</v>
      </c>
    </row>
    <row r="8" spans="1:4" x14ac:dyDescent="0.25">
      <c r="A8" s="25" t="s">
        <v>193</v>
      </c>
      <c r="B8" s="6" t="s">
        <v>80</v>
      </c>
      <c r="C8" s="18">
        <f>SUMIFS(ExpenseAllowable,ExpenseCategoryCol,"Cost of goods bought for resale or goods used")</f>
      </c>
      <c r="D8" s="8" t="s">
        <v>81</v>
      </c>
    </row>
    <row r="9" spans="1:4" x14ac:dyDescent="0.25">
      <c r="A9" s="25" t="s">
        <v>194</v>
      </c>
      <c r="B9" s="6" t="s">
        <v>82</v>
      </c>
      <c r="C9" s="18">
        <f>SUMIFS(ExpenseAllowable,ExpenseCategoryCol,"Car, van and travel expenses")+MileageClaim</f>
      </c>
      <c r="D9" s="8" t="s">
        <v>195</v>
      </c>
    </row>
    <row r="10" spans="1:4" x14ac:dyDescent="0.25">
      <c r="A10" s="25" t="s">
        <v>196</v>
      </c>
      <c r="B10" s="6" t="s">
        <v>84</v>
      </c>
      <c r="C10" s="18">
        <f>SUMIFS(ExpenseAllowable,ExpenseCategoryCol,"Wages, salaries and other staff costs")</f>
      </c>
      <c r="D10" s="8" t="s">
        <v>85</v>
      </c>
    </row>
    <row r="11" spans="1:4" x14ac:dyDescent="0.25">
      <c r="A11" s="25" t="s">
        <v>197</v>
      </c>
      <c r="B11" s="6" t="s">
        <v>86</v>
      </c>
      <c r="C11" s="18">
        <f>SUMIFS(ExpenseAllowable,ExpenseCategoryCol,"Rent, rates, power and insurance costs")</f>
      </c>
      <c r="D11" s="8" t="s">
        <v>87</v>
      </c>
    </row>
    <row r="12" spans="1:4" x14ac:dyDescent="0.25">
      <c r="A12" s="25" t="s">
        <v>198</v>
      </c>
      <c r="B12" s="6" t="s">
        <v>88</v>
      </c>
      <c r="C12" s="18">
        <f>SUMIFS(ExpenseAllowable,ExpenseCategoryCol,"Repairs and maintenance of property and equipment")</f>
      </c>
      <c r="D12" s="8" t="s">
        <v>89</v>
      </c>
    </row>
    <row r="13" spans="1:4" x14ac:dyDescent="0.25">
      <c r="A13" s="25" t="s">
        <v>199</v>
      </c>
      <c r="B13" s="6" t="s">
        <v>90</v>
      </c>
      <c r="C13" s="18">
        <f>SUMIFS(ExpenseAllowable,ExpenseCategoryCol,"Phone, fax, stationery and other office costs")</f>
      </c>
      <c r="D13" s="8" t="s">
        <v>91</v>
      </c>
    </row>
    <row r="14" spans="1:4" x14ac:dyDescent="0.25">
      <c r="A14" s="25" t="s">
        <v>200</v>
      </c>
      <c r="B14" s="6" t="s">
        <v>92</v>
      </c>
      <c r="C14" s="18">
        <f>SUMIFS(ExpenseAllowable,ExpenseCategoryCol,"Advertising and business entertainment costs")</f>
      </c>
      <c r="D14" s="8" t="s">
        <v>93</v>
      </c>
    </row>
    <row r="15" spans="1:4" x14ac:dyDescent="0.25">
      <c r="A15" s="25" t="s">
        <v>201</v>
      </c>
      <c r="B15" s="6" t="s">
        <v>94</v>
      </c>
      <c r="C15" s="18">
        <f>SUMIFS(ExpenseAllowable,ExpenseCategoryCol,"Interest and bank and credit card financial charges")</f>
      </c>
      <c r="D15" s="8" t="s">
        <v>95</v>
      </c>
    </row>
    <row r="16" spans="1:4" x14ac:dyDescent="0.25">
      <c r="A16" s="25" t="s">
        <v>202</v>
      </c>
      <c r="B16" s="6" t="s">
        <v>96</v>
      </c>
      <c r="C16" s="18">
        <f>SUMIFS(ExpenseAllowable,ExpenseCategoryCol,"Other allowable business expenses")</f>
      </c>
      <c r="D16" s="8" t="s">
        <v>97</v>
      </c>
    </row>
    <row r="17" spans="1:4" x14ac:dyDescent="0.25">
      <c r="A17" s="25" t="s">
        <v>203</v>
      </c>
      <c r="B17" s="6" t="s">
        <v>204</v>
      </c>
      <c r="C17" s="16">
        <f>SUM(C8:C16)</f>
      </c>
      <c r="D17" s="8" t="s">
        <v>205</v>
      </c>
    </row>
    <row r="18" spans="1:4" x14ac:dyDescent="0.25">
      <c r="A18" s="25" t="s">
        <v>206</v>
      </c>
      <c r="B18" s="6" t="s">
        <v>207</v>
      </c>
      <c r="C18" s="18">
        <f>MAX(IF(UseAllowance=1,C5+C6-C7,C5+C6-C17),0)</f>
      </c>
      <c r="D18" s="8" t="s">
        <v>208</v>
      </c>
    </row>
    <row r="19" spans="1:4" x14ac:dyDescent="0.25">
      <c r="A19" s="25" t="s">
        <v>209</v>
      </c>
      <c r="B19" s="6" t="s">
        <v>210</v>
      </c>
      <c r="C19" s="18">
        <f>MAX(IF(UseAllowance=1,0,C17-C5-C6),0)</f>
      </c>
      <c r="D19" s="8" t="s">
        <v>211</v>
      </c>
    </row>
    <row r="20" spans="1:4" x14ac:dyDescent="0.25">
      <c r="A20" s="25" t="s">
        <v>212</v>
      </c>
      <c r="B20" s="6" t="s">
        <v>213</v>
      </c>
      <c r="C20" s="18">
        <f>IF(UseAllowance=1,0,SUMIFS(ExpenseAllowable,ExpenseCategoryCol,"Capital item (annual investment allowance, box 23)"))</f>
      </c>
      <c r="D20" s="8" t="s">
        <v>214</v>
      </c>
    </row>
    <row r="21" spans="1:4" x14ac:dyDescent="0.25">
      <c r="A21" s="25" t="s">
        <v>215</v>
      </c>
      <c r="B21" s="6" t="s">
        <v>216</v>
      </c>
      <c r="C21" s="16">
        <f>MAX(C18-C20,0)</f>
      </c>
      <c r="D21" s="8" t="s">
        <v>217</v>
      </c>
    </row>
  </sheetData>
  <mergeCells count="1"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A5F"/>
  </sheetPr>
  <dimension ref="A1:C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6" customWidth="1"/>
    <col min="2" max="2" width="18" customWidth="1"/>
    <col min="3" max="3" width="76" customWidth="1"/>
  </cols>
  <sheetData>
    <row r="1" ht="24" customHeight="1" spans="1:1" x14ac:dyDescent="0.25">
      <c r="A1" s="1" t="s">
        <v>218</v>
      </c>
    </row>
    <row r="2" ht="28" customHeight="1" spans="1:3" x14ac:dyDescent="0.25">
      <c r="A2" s="2" t="s">
        <v>219</v>
      </c>
      <c r="B2" s="2"/>
      <c r="C2" s="2"/>
    </row>
    <row r="4" ht="30" customHeight="1" spans="1:3" x14ac:dyDescent="0.25">
      <c r="A4" s="5" t="s">
        <v>220</v>
      </c>
      <c r="B4" s="5" t="s">
        <v>162</v>
      </c>
      <c r="C4" s="5" t="s">
        <v>221</v>
      </c>
    </row>
    <row r="5" spans="1:3" x14ac:dyDescent="0.25">
      <c r="A5" s="20" t="s">
        <v>222</v>
      </c>
      <c r="B5" s="26"/>
      <c r="C5" s="8" t="s">
        <v>4</v>
      </c>
    </row>
    <row r="6" spans="1:3" x14ac:dyDescent="0.25">
      <c r="A6" s="6" t="s">
        <v>223</v>
      </c>
      <c r="B6" s="13">
        <v>0</v>
      </c>
      <c r="C6" s="8" t="s">
        <v>224</v>
      </c>
    </row>
    <row r="7" spans="1:3" x14ac:dyDescent="0.25">
      <c r="A7" s="6" t="s">
        <v>225</v>
      </c>
      <c r="B7" s="13">
        <v>0</v>
      </c>
      <c r="C7" s="8" t="s">
        <v>226</v>
      </c>
    </row>
    <row r="8" spans="1:3" x14ac:dyDescent="0.25">
      <c r="A8" s="6" t="s">
        <v>227</v>
      </c>
      <c r="B8" s="13">
        <v>0</v>
      </c>
      <c r="C8" s="8" t="s">
        <v>228</v>
      </c>
    </row>
    <row r="9" spans="1:3" x14ac:dyDescent="0.25">
      <c r="A9" s="27" t="s">
        <v>229</v>
      </c>
      <c r="B9" s="10" t="s">
        <v>230</v>
      </c>
      <c r="C9" s="8" t="s">
        <v>231</v>
      </c>
    </row>
    <row r="11" spans="1:3" x14ac:dyDescent="0.25">
      <c r="A11" s="20" t="s">
        <v>232</v>
      </c>
      <c r="B11" s="26"/>
      <c r="C11" s="8" t="s">
        <v>4</v>
      </c>
    </row>
    <row r="12" spans="1:3" x14ac:dyDescent="0.25">
      <c r="A12" s="6" t="s">
        <v>233</v>
      </c>
      <c r="B12" s="18">
        <f>TaxableProfit</f>
      </c>
      <c r="C12" s="8" t="s">
        <v>234</v>
      </c>
    </row>
    <row r="13" spans="1:3" x14ac:dyDescent="0.25">
      <c r="A13" s="6" t="s">
        <v>235</v>
      </c>
      <c r="B13" s="18">
        <f>B12+B6</f>
      </c>
      <c r="C13" s="8" t="s">
        <v>236</v>
      </c>
    </row>
    <row r="14" spans="1:3" x14ac:dyDescent="0.25">
      <c r="A14" s="6" t="s">
        <v>237</v>
      </c>
      <c r="B14" s="18">
        <f>MAX(0,PersonalAllowance-MAX(0,B13-PATaperStart)/2)</f>
      </c>
      <c r="C14" s="8" t="s">
        <v>238</v>
      </c>
    </row>
    <row r="15" spans="1:3" x14ac:dyDescent="0.25">
      <c r="A15" s="6" t="s">
        <v>239</v>
      </c>
      <c r="B15" s="18">
        <f>MAX(0,B13-B14)</f>
      </c>
      <c r="C15" s="8" t="s">
        <v>4</v>
      </c>
    </row>
    <row r="17" spans="1:3" x14ac:dyDescent="0.25">
      <c r="A17" s="20" t="s">
        <v>240</v>
      </c>
      <c r="B17" s="26"/>
      <c r="C17" s="8" t="s">
        <v>4</v>
      </c>
    </row>
    <row r="18" spans="1:3" x14ac:dyDescent="0.25">
      <c r="A18" s="6" t="s">
        <v>46</v>
      </c>
      <c r="B18" s="18">
        <f>MIN(B15,BasicRateBand)*BasicRate</f>
      </c>
      <c r="C18" s="8" t="s">
        <v>241</v>
      </c>
    </row>
    <row r="19" spans="1:3" x14ac:dyDescent="0.25">
      <c r="A19" s="6" t="s">
        <v>48</v>
      </c>
      <c r="B19" s="18">
        <f>MIN(MAX(B15-BasicRateBand,0),MAX((HigherRateLimit-B14)-BasicRateBand,0))*HigherRate</f>
      </c>
      <c r="C19" s="8" t="s">
        <v>242</v>
      </c>
    </row>
    <row r="20" spans="1:3" x14ac:dyDescent="0.25">
      <c r="A20" s="6" t="s">
        <v>49</v>
      </c>
      <c r="B20" s="18">
        <f>MAX(B15-(HigherRateLimit-B14),0)*AdditionalRate</f>
      </c>
      <c r="C20" s="8" t="s">
        <v>243</v>
      </c>
    </row>
    <row r="21" spans="1:3" x14ac:dyDescent="0.25">
      <c r="A21" s="6" t="s">
        <v>244</v>
      </c>
      <c r="B21" s="18">
        <f>ROUND(B18+B19+B20,2)</f>
      </c>
      <c r="C21" s="8" t="s">
        <v>4</v>
      </c>
    </row>
    <row r="22" spans="1:3" x14ac:dyDescent="0.25">
      <c r="A22" s="6" t="s">
        <v>245</v>
      </c>
      <c r="B22" s="18">
        <f>IF(B13=0,0,ROUND(B21*B12/B13,2))</f>
      </c>
      <c r="C22" s="8" t="s">
        <v>246</v>
      </c>
    </row>
    <row r="24" spans="1:3" x14ac:dyDescent="0.25">
      <c r="A24" s="20" t="s">
        <v>247</v>
      </c>
      <c r="B24" s="26"/>
      <c r="C24" s="8" t="s">
        <v>4</v>
      </c>
    </row>
    <row r="25" spans="1:3" x14ac:dyDescent="0.25">
      <c r="A25" s="6" t="s">
        <v>248</v>
      </c>
      <c r="B25" s="18">
        <f>MIN(MAX(B12-Class4Lower,0),Class4Upper-Class4Lower)*Class4MainRate</f>
      </c>
      <c r="C25" s="8" t="s">
        <v>249</v>
      </c>
    </row>
    <row r="26" spans="1:3" x14ac:dyDescent="0.25">
      <c r="A26" s="6" t="s">
        <v>250</v>
      </c>
      <c r="B26" s="18">
        <f>MAX(B12-Class4Upper,0)*Class4UpperRate</f>
      </c>
      <c r="C26" s="8" t="s">
        <v>251</v>
      </c>
    </row>
    <row r="27" spans="1:3" x14ac:dyDescent="0.25">
      <c r="A27" s="6" t="s">
        <v>252</v>
      </c>
      <c r="B27" s="18">
        <f>ROUND(B25+B26,2)</f>
      </c>
      <c r="C27" s="8" t="s">
        <v>4</v>
      </c>
    </row>
    <row r="28" spans="1:3" x14ac:dyDescent="0.25">
      <c r="A28" s="6" t="s">
        <v>253</v>
      </c>
      <c r="B28" s="18">
        <f>IF(AND(B9="Yes",B12&lt;Class2SPT),ROUND(Class2Weekly*52,2),0)</f>
      </c>
      <c r="C28" s="8" t="s">
        <v>254</v>
      </c>
    </row>
    <row r="30" spans="1:3" x14ac:dyDescent="0.25">
      <c r="A30" s="20" t="s">
        <v>255</v>
      </c>
      <c r="B30" s="26"/>
      <c r="C30" s="8" t="s">
        <v>4</v>
      </c>
    </row>
    <row r="31" spans="1:3" x14ac:dyDescent="0.25">
      <c r="A31" s="6" t="s">
        <v>256</v>
      </c>
      <c r="B31" s="18">
        <f>B21+B27+B28</f>
      </c>
      <c r="C31" s="8" t="s">
        <v>4</v>
      </c>
    </row>
    <row r="32" spans="1:3" x14ac:dyDescent="0.25">
      <c r="A32" s="6" t="s">
        <v>257</v>
      </c>
      <c r="B32" s="18">
        <f>B7</f>
      </c>
      <c r="C32" s="8" t="s">
        <v>4</v>
      </c>
    </row>
    <row r="33" spans="1:3" x14ac:dyDescent="0.25">
      <c r="A33" s="20" t="s">
        <v>258</v>
      </c>
      <c r="B33" s="16">
        <f>B31-B32</f>
      </c>
      <c r="C33" s="8" t="s">
        <v>259</v>
      </c>
    </row>
    <row r="34" spans="1:3" x14ac:dyDescent="0.25">
      <c r="A34" s="6" t="s">
        <v>260</v>
      </c>
      <c r="B34" s="18">
        <f>B8</f>
      </c>
      <c r="C34" s="8" t="s">
        <v>4</v>
      </c>
    </row>
    <row r="35" spans="1:3" x14ac:dyDescent="0.25">
      <c r="A35" s="20" t="s">
        <v>261</v>
      </c>
      <c r="B35" s="16">
        <f>B33-B34</f>
      </c>
      <c r="C35" s="8" t="s">
        <v>4</v>
      </c>
    </row>
    <row r="36" spans="1:3" x14ac:dyDescent="0.25">
      <c r="A36" s="6" t="s">
        <v>262</v>
      </c>
      <c r="B36" s="9">
        <f>DATE(YEAR(TaxYearEnd)+1,1,31)</f>
      </c>
      <c r="C36" s="8" t="s">
        <v>263</v>
      </c>
    </row>
    <row r="38" spans="1:3" x14ac:dyDescent="0.25">
      <c r="A38" s="20" t="s">
        <v>264</v>
      </c>
      <c r="B38" s="26"/>
      <c r="C38" s="8" t="s">
        <v>4</v>
      </c>
    </row>
    <row r="39" spans="1:3" x14ac:dyDescent="0.25">
      <c r="A39" s="6" t="s">
        <v>265</v>
      </c>
      <c r="B39" s="18">
        <f>B21+B27-B7</f>
      </c>
      <c r="C39" s="8" t="s">
        <v>266</v>
      </c>
    </row>
    <row r="40" spans="1:3" x14ac:dyDescent="0.25">
      <c r="A40" s="6" t="s">
        <v>267</v>
      </c>
      <c r="B40" s="23">
        <f>IF(AND(B39&gt;POAMin,B7&lt;POASourceShare*(B21+B27)),"Yes","No")</f>
      </c>
      <c r="C40" s="8" t="s">
        <v>268</v>
      </c>
    </row>
    <row r="41" spans="1:3" x14ac:dyDescent="0.25">
      <c r="A41" s="20" t="s">
        <v>269</v>
      </c>
      <c r="B41" s="16">
        <f>IF(B40="Yes",ROUND(B39/2,2),0)</f>
      </c>
      <c r="C41" s="8" t="s">
        <v>270</v>
      </c>
    </row>
    <row r="42" spans="1:3" x14ac:dyDescent="0.25">
      <c r="A42" s="6" t="s">
        <v>271</v>
      </c>
      <c r="B42" s="9">
        <f>DATE(YEAR(TaxYearEnd)+1,1,31)</f>
      </c>
      <c r="C42" s="28">
        <f>DATE(YEAR(TaxYearEnd)+1,7,31)</f>
      </c>
    </row>
    <row r="44" spans="1:3" x14ac:dyDescent="0.25">
      <c r="A44" s="6" t="s">
        <v>272</v>
      </c>
      <c r="B44" s="29">
        <f>IF(B12=0,0,(B22+B27)/B12)</f>
      </c>
      <c r="C44" s="8" t="s">
        <v>273</v>
      </c>
    </row>
    <row r="46" ht="48" customHeight="1" spans="1:3" x14ac:dyDescent="0.25">
      <c r="A46" s="8" t="s">
        <v>274</v>
      </c>
      <c r="B46" s="8"/>
      <c r="C46" s="8"/>
    </row>
  </sheetData>
  <mergeCells count="2">
    <mergeCell ref="A2:C2"/>
    <mergeCell ref="A46:C46"/>
  </mergeCells>
  <dataValidations count="1">
    <dataValidation type="list" sqref="B9:B9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B26F"/>
  </sheetPr>
  <dimension ref="A1:C4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6" customWidth="1"/>
    <col min="2" max="2" width="18" customWidth="1"/>
    <col min="3" max="3" width="80" customWidth="1"/>
  </cols>
  <sheetData>
    <row r="1" ht="24" customHeight="1" spans="1:1" x14ac:dyDescent="0.25">
      <c r="A1" s="1" t="s">
        <v>275</v>
      </c>
    </row>
    <row r="2" ht="28" customHeight="1" spans="1:3" x14ac:dyDescent="0.25">
      <c r="A2" s="2" t="s">
        <v>276</v>
      </c>
      <c r="B2" s="2"/>
      <c r="C2" s="2"/>
    </row>
    <row r="4" ht="30" customHeight="1" spans="1:3" x14ac:dyDescent="0.25">
      <c r="A4" s="5" t="s">
        <v>220</v>
      </c>
      <c r="B4" s="5" t="s">
        <v>162</v>
      </c>
      <c r="C4" s="5" t="s">
        <v>277</v>
      </c>
    </row>
    <row r="5" spans="1:3" x14ac:dyDescent="0.25">
      <c r="A5" s="20" t="s">
        <v>278</v>
      </c>
      <c r="B5" s="26"/>
      <c r="C5" s="8" t="s">
        <v>4</v>
      </c>
    </row>
    <row r="6" spans="1:3" x14ac:dyDescent="0.25">
      <c r="A6" s="6" t="s">
        <v>279</v>
      </c>
      <c r="B6" s="13">
        <v>42000</v>
      </c>
      <c r="C6" s="8" t="s">
        <v>280</v>
      </c>
    </row>
    <row r="7" spans="1:3" x14ac:dyDescent="0.25">
      <c r="A7" s="6" t="s">
        <v>79</v>
      </c>
      <c r="B7" s="13">
        <v>0</v>
      </c>
      <c r="C7" s="8" t="s">
        <v>4</v>
      </c>
    </row>
    <row r="8" spans="1:3" x14ac:dyDescent="0.25">
      <c r="A8" s="6" t="s">
        <v>281</v>
      </c>
      <c r="B8" s="13">
        <v>6500</v>
      </c>
      <c r="C8" s="8" t="s">
        <v>282</v>
      </c>
    </row>
    <row r="9" spans="1:3" x14ac:dyDescent="0.25">
      <c r="A9" s="6" t="s">
        <v>283</v>
      </c>
      <c r="B9" s="14">
        <v>8000</v>
      </c>
      <c r="C9" s="8" t="s">
        <v>4</v>
      </c>
    </row>
    <row r="10" spans="1:3" x14ac:dyDescent="0.25">
      <c r="A10" s="6" t="s">
        <v>284</v>
      </c>
      <c r="B10" s="13">
        <v>0</v>
      </c>
      <c r="C10" s="8" t="s">
        <v>4</v>
      </c>
    </row>
    <row r="11" spans="1:3" x14ac:dyDescent="0.25">
      <c r="A11" s="6" t="s">
        <v>285</v>
      </c>
      <c r="B11" s="13">
        <v>0</v>
      </c>
      <c r="C11" s="8" t="s">
        <v>4</v>
      </c>
    </row>
    <row r="12" spans="1:3" x14ac:dyDescent="0.25">
      <c r="A12" s="6" t="s">
        <v>286</v>
      </c>
      <c r="B12" s="13">
        <v>0</v>
      </c>
      <c r="C12" s="8" t="s">
        <v>4</v>
      </c>
    </row>
    <row r="13" spans="1:3" x14ac:dyDescent="0.25">
      <c r="A13" s="6" t="s">
        <v>287</v>
      </c>
      <c r="B13" s="13">
        <v>0</v>
      </c>
      <c r="C13" s="8" t="s">
        <v>4</v>
      </c>
    </row>
    <row r="15" spans="1:3" x14ac:dyDescent="0.25">
      <c r="A15" s="20" t="s">
        <v>288</v>
      </c>
      <c r="B15" s="26"/>
      <c r="C15" s="8" t="s">
        <v>4</v>
      </c>
    </row>
    <row r="16" spans="1:3" x14ac:dyDescent="0.25">
      <c r="A16" s="6" t="s">
        <v>289</v>
      </c>
      <c r="B16" s="18">
        <f>MIN(B9,MileageCarThreshold)*MileageCarFirst+MAX(B9-MileageCarThreshold,0)*MileageCarAfter</f>
      </c>
      <c r="C16" s="8" t="s">
        <v>290</v>
      </c>
    </row>
    <row r="17" spans="1:3" x14ac:dyDescent="0.25">
      <c r="A17" s="6" t="s">
        <v>291</v>
      </c>
      <c r="B17" s="18">
        <f>B8+B16+B10</f>
      </c>
      <c r="C17" s="8" t="s">
        <v>292</v>
      </c>
    </row>
    <row r="18" spans="1:3" x14ac:dyDescent="0.25">
      <c r="A18" s="6" t="s">
        <v>293</v>
      </c>
      <c r="B18" s="18">
        <f>B6+B7-MIN(TradingAllowance,B6+B7)</f>
      </c>
      <c r="C18" s="8" t="s">
        <v>294</v>
      </c>
    </row>
    <row r="19" spans="1:3" x14ac:dyDescent="0.25">
      <c r="A19" s="20" t="s">
        <v>295</v>
      </c>
      <c r="B19" s="16">
        <f>IF(B17&lt;MIN(TradingAllowance,B6+B7),B18,MAX(B6+B7-B17,0))</f>
      </c>
      <c r="C19" s="8" t="s">
        <v>296</v>
      </c>
    </row>
    <row r="21" spans="1:3" x14ac:dyDescent="0.25">
      <c r="A21" s="20" t="s">
        <v>240</v>
      </c>
      <c r="B21" s="26"/>
      <c r="C21" s="8" t="s">
        <v>4</v>
      </c>
    </row>
    <row r="22" spans="1:3" x14ac:dyDescent="0.25">
      <c r="A22" s="6" t="s">
        <v>235</v>
      </c>
      <c r="B22" s="18">
        <f>B19+B11</f>
      </c>
      <c r="C22" s="8" t="s">
        <v>297</v>
      </c>
    </row>
    <row r="23" spans="1:3" x14ac:dyDescent="0.25">
      <c r="A23" s="6" t="s">
        <v>237</v>
      </c>
      <c r="B23" s="18">
        <f>MAX(0,PersonalAllowance-MAX(0,B22-PATaperStart)/2)</f>
      </c>
      <c r="C23" s="8" t="s">
        <v>298</v>
      </c>
    </row>
    <row r="24" spans="1:3" x14ac:dyDescent="0.25">
      <c r="A24" s="6" t="s">
        <v>239</v>
      </c>
      <c r="B24" s="18">
        <f>MAX(0,B22-B23)</f>
      </c>
      <c r="C24" s="8" t="s">
        <v>299</v>
      </c>
    </row>
    <row r="25" spans="1:3" x14ac:dyDescent="0.25">
      <c r="A25" s="6" t="s">
        <v>46</v>
      </c>
      <c r="B25" s="18">
        <f>MIN(B24,BasicRateBand)*BasicRate</f>
      </c>
      <c r="C25" s="8" t="s">
        <v>300</v>
      </c>
    </row>
    <row r="26" spans="1:3" x14ac:dyDescent="0.25">
      <c r="A26" s="6" t="s">
        <v>48</v>
      </c>
      <c r="B26" s="18">
        <f>MIN(MAX(B24-BasicRateBand,0),MAX((HigherRateLimit-B23)-BasicRateBand,0))*HigherRate</f>
      </c>
      <c r="C26" s="8" t="s">
        <v>301</v>
      </c>
    </row>
    <row r="27" spans="1:3" x14ac:dyDescent="0.25">
      <c r="A27" s="6" t="s">
        <v>49</v>
      </c>
      <c r="B27" s="18">
        <f>MAX(B24-(HigherRateLimit-B23),0)*AdditionalRate</f>
      </c>
      <c r="C27" s="8" t="s">
        <v>4</v>
      </c>
    </row>
    <row r="28" spans="1:3" x14ac:dyDescent="0.25">
      <c r="A28" s="20" t="s">
        <v>240</v>
      </c>
      <c r="B28" s="16">
        <f>ROUND(B25+B26+B27,2)</f>
      </c>
      <c r="C28" s="8" t="s">
        <v>302</v>
      </c>
    </row>
    <row r="30" spans="1:3" x14ac:dyDescent="0.25">
      <c r="A30" s="20" t="s">
        <v>247</v>
      </c>
      <c r="B30" s="26"/>
      <c r="C30" s="8" t="s">
        <v>4</v>
      </c>
    </row>
    <row r="31" spans="1:3" x14ac:dyDescent="0.25">
      <c r="A31" s="6" t="s">
        <v>248</v>
      </c>
      <c r="B31" s="18">
        <f>MIN(MAX(B19-Class4Lower,0),Class4Upper-Class4Lower)*Class4MainRate</f>
      </c>
      <c r="C31" s="8" t="s">
        <v>303</v>
      </c>
    </row>
    <row r="32" spans="1:3" x14ac:dyDescent="0.25">
      <c r="A32" s="6" t="s">
        <v>250</v>
      </c>
      <c r="B32" s="18">
        <f>MAX(B19-Class4Upper,0)*Class4UpperRate</f>
      </c>
      <c r="C32" s="8" t="s">
        <v>304</v>
      </c>
    </row>
    <row r="33" spans="1:3" x14ac:dyDescent="0.25">
      <c r="A33" s="20" t="s">
        <v>305</v>
      </c>
      <c r="B33" s="16">
        <f>ROUND(B31+B32,2)</f>
      </c>
      <c r="C33" s="8" t="s">
        <v>306</v>
      </c>
    </row>
    <row r="35" spans="1:3" x14ac:dyDescent="0.25">
      <c r="A35" s="20" t="s">
        <v>307</v>
      </c>
      <c r="B35" s="26"/>
      <c r="C35" s="8" t="s">
        <v>4</v>
      </c>
    </row>
    <row r="36" spans="1:3" x14ac:dyDescent="0.25">
      <c r="A36" s="20" t="s">
        <v>308</v>
      </c>
      <c r="B36" s="16">
        <f>B28+B33-B12</f>
      </c>
      <c r="C36" s="8" t="s">
        <v>309</v>
      </c>
    </row>
    <row r="37" spans="1:3" x14ac:dyDescent="0.25">
      <c r="A37" s="6" t="s">
        <v>310</v>
      </c>
      <c r="B37" s="18">
        <f>B13</f>
      </c>
      <c r="C37" s="8" t="s">
        <v>4</v>
      </c>
    </row>
    <row r="38" spans="1:3" x14ac:dyDescent="0.25">
      <c r="A38" s="20" t="s">
        <v>311</v>
      </c>
      <c r="B38" s="16">
        <f>B36-B37</f>
      </c>
      <c r="C38" s="8" t="s">
        <v>312</v>
      </c>
    </row>
    <row r="39" spans="1:3" x14ac:dyDescent="0.25">
      <c r="A39" s="20" t="s">
        <v>313</v>
      </c>
      <c r="B39" s="16">
        <f>IF(AND(B36&gt;POAMin,B12&lt;POASourceShare*(B28+B33)),ROUND(B36/2,2),0)</f>
      </c>
      <c r="C39" s="8" t="s">
        <v>314</v>
      </c>
    </row>
    <row r="40" spans="1:3" x14ac:dyDescent="0.25">
      <c r="A40" s="6" t="s">
        <v>315</v>
      </c>
      <c r="B40" s="18">
        <f>B38+B39</f>
      </c>
      <c r="C40" s="8" t="s">
        <v>316</v>
      </c>
    </row>
    <row r="41" spans="1:3" x14ac:dyDescent="0.25">
      <c r="A41" s="6" t="s">
        <v>317</v>
      </c>
      <c r="B41" s="29">
        <f>IF(B19=0,0,B36/B19)</f>
      </c>
      <c r="C41" s="8" t="s">
        <v>318</v>
      </c>
    </row>
  </sheetData>
  <mergeCells count="1"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Setup</vt:lpstr>
      <vt:lpstr>Income</vt:lpstr>
      <vt:lpstr>Expenses</vt:lpstr>
      <vt:lpstr>Mileage</vt:lpstr>
      <vt:lpstr>Quarterly</vt:lpstr>
      <vt:lpstr>Allowance</vt:lpstr>
      <vt:lpstr>SA103</vt:lpstr>
      <vt:lpstr>Tax</vt:lpstr>
      <vt:lpstr>Example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 Sole Trader Tax Workbook</dc:creator>
  <dc:title/>
  <dc:subject/>
  <dc:description/>
  <cp:keywords/>
  <cp:category/>
  <cp:lastModifiedBy>Unknown</cp:lastModifiedBy>
  <dcterms:created xsi:type="dcterms:W3CDTF">2026-10-24T00:00:00Z</dcterms:created>
  <dcterms:modified xsi:type="dcterms:W3CDTF">2026-10-24T18:25:32Z</dcterms:modified>
</cp:coreProperties>
</file>